
<file path=[Content_Types].xml><?xml version="1.0" encoding="utf-8"?>
<Types xmlns="http://schemas.openxmlformats.org/package/2006/content-types"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lpgc\2021-2022\2º Semestre\DAW2\Clases2122\S6\Tablas\"/>
    </mc:Choice>
  </mc:AlternateContent>
  <xr:revisionPtr revIDLastSave="0" documentId="13_ncr:1_{B8BCD9C1-373B-45F7-B3D6-AEDF80D8BB56}" xr6:coauthVersionLast="47" xr6:coauthVersionMax="47" xr10:uidLastSave="{00000000-0000-0000-0000-000000000000}"/>
  <bookViews>
    <workbookView xWindow="-120" yWindow="-16320" windowWidth="29040" windowHeight="15840" activeTab="3" xr2:uid="{00000000-000D-0000-FFFF-FFFF00000000}"/>
  </bookViews>
  <sheets>
    <sheet name="Model" sheetId="7" r:id="rId1"/>
    <sheet name="States" sheetId="6" r:id="rId2"/>
    <sheet name="Data" sheetId="2" r:id="rId3"/>
    <sheet name="Calcs" sheetId="3" r:id="rId4"/>
  </sheets>
  <definedNames>
    <definedName name="_xlnm._FilterDatabase" localSheetId="2" hidden="1">Data!$A$1:$U$51</definedName>
    <definedName name="Alabama">States!$B$2</definedName>
    <definedName name="Alaska">States!$B$3</definedName>
    <definedName name="Arizona">States!$B$4</definedName>
    <definedName name="Arkansas">States!$B$5</definedName>
    <definedName name="California">States!$B$6</definedName>
    <definedName name="Colorado">States!$B$7</definedName>
    <definedName name="Connecticut">States!$B$8</definedName>
    <definedName name="Delaware">States!$B$9</definedName>
    <definedName name="Florida">States!$B$10</definedName>
    <definedName name="Georgia">States!$B$11</definedName>
    <definedName name="Hawaii">States!$B$12</definedName>
    <definedName name="Idaho">States!$B$13</definedName>
    <definedName name="Illinois">States!$B$14</definedName>
    <definedName name="Indiana">States!$B$15</definedName>
    <definedName name="Iowa">States!$B$16</definedName>
    <definedName name="Kansas">States!$B$17</definedName>
    <definedName name="Kentucky">States!$B$18</definedName>
    <definedName name="Louisiana">States!$B$19</definedName>
    <definedName name="Maine">States!$B$20</definedName>
    <definedName name="Maryland">States!$B$21</definedName>
    <definedName name="Massachusetts">States!$B$22</definedName>
    <definedName name="Michigan">States!$B$23</definedName>
    <definedName name="Minnesota">States!$B$24</definedName>
    <definedName name="Mississippi">States!$B$25</definedName>
    <definedName name="Missouri">States!$B$26</definedName>
    <definedName name="Montana">States!$B$27</definedName>
    <definedName name="Nebraska">States!$B$28</definedName>
    <definedName name="Nevada">States!$B$29</definedName>
    <definedName name="NewHampshire">States!$B$30</definedName>
    <definedName name="NewJersey">States!$B$31</definedName>
    <definedName name="NewMexico">States!$B$32</definedName>
    <definedName name="NewYork">States!$B$33</definedName>
    <definedName name="NorthCarolina">States!$B$34</definedName>
    <definedName name="NorthDakota">States!$B$35</definedName>
    <definedName name="Ohio">States!$B$36</definedName>
    <definedName name="Oklahoma">States!$B$37</definedName>
    <definedName name="Oregon">States!$B$38</definedName>
    <definedName name="Pennsylvania">States!$B$39</definedName>
    <definedName name="RhodeIsland">States!$B$40</definedName>
    <definedName name="SouthCarolina">States!$B$41</definedName>
    <definedName name="SouthDakota">States!$B$42</definedName>
    <definedName name="State1">INDIRECT(#REF!)</definedName>
    <definedName name="State10">INDIRECT(#REF!)</definedName>
    <definedName name="State11">INDIRECT(#REF!)</definedName>
    <definedName name="State12">INDIRECT(#REF!)</definedName>
    <definedName name="State13">INDIRECT(#REF!)</definedName>
    <definedName name="State14">INDIRECT(#REF!)</definedName>
    <definedName name="State15">INDIRECT(#REF!)</definedName>
    <definedName name="State16">INDIRECT(#REF!)</definedName>
    <definedName name="State17">INDIRECT(#REF!)</definedName>
    <definedName name="State18">INDIRECT(#REF!)</definedName>
    <definedName name="State19">INDIRECT(#REF!)</definedName>
    <definedName name="State2">INDIRECT(#REF!)</definedName>
    <definedName name="State20">INDIRECT(#REF!)</definedName>
    <definedName name="State3">INDIRECT(#REF!)</definedName>
    <definedName name="State4">INDIRECT(#REF!)</definedName>
    <definedName name="State5">INDIRECT(#REF!)</definedName>
    <definedName name="State6">INDIRECT(#REF!)</definedName>
    <definedName name="State7">INDIRECT(#REF!)</definedName>
    <definedName name="State8">INDIRECT(#REF!)</definedName>
    <definedName name="State9">INDIRECT(#REF!)</definedName>
    <definedName name="Tennessee">States!$B$43</definedName>
    <definedName name="Texas">States!$B$44</definedName>
    <definedName name="Utah">States!$B$45</definedName>
    <definedName name="Vermont">States!$B$46</definedName>
    <definedName name="Virginia">States!$B$47</definedName>
    <definedName name="Washington">States!$B$48</definedName>
    <definedName name="WestVirginia">States!$B$49</definedName>
    <definedName name="Wisconsin">States!$B$50</definedName>
    <definedName name="Wyoming">States!$B$51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7" l="1"/>
  <c r="E4" i="7"/>
  <c r="E3" i="7"/>
  <c r="E2" i="7"/>
  <c r="C2" i="2" l="1"/>
  <c r="L2" i="2"/>
  <c r="M2" i="2"/>
  <c r="N2" i="2"/>
  <c r="O2" i="2"/>
  <c r="P2" i="2"/>
  <c r="C3" i="2"/>
  <c r="L3" i="2"/>
  <c r="M3" i="2"/>
  <c r="N3" i="2"/>
  <c r="O3" i="2"/>
  <c r="P3" i="2"/>
  <c r="C4" i="2"/>
  <c r="L4" i="2"/>
  <c r="M4" i="2"/>
  <c r="N4" i="2"/>
  <c r="O4" i="2"/>
  <c r="P4" i="2"/>
  <c r="C5" i="2"/>
  <c r="L5" i="2"/>
  <c r="M5" i="2"/>
  <c r="N5" i="2"/>
  <c r="O5" i="2"/>
  <c r="P5" i="2"/>
  <c r="C6" i="2"/>
  <c r="L6" i="2"/>
  <c r="M6" i="2"/>
  <c r="N6" i="2"/>
  <c r="O6" i="2"/>
  <c r="P6" i="2"/>
  <c r="C7" i="2"/>
  <c r="L7" i="2"/>
  <c r="M7" i="2"/>
  <c r="N7" i="2"/>
  <c r="O7" i="2"/>
  <c r="P7" i="2"/>
  <c r="C8" i="2"/>
  <c r="L8" i="2"/>
  <c r="M8" i="2"/>
  <c r="N8" i="2"/>
  <c r="O8" i="2"/>
  <c r="P8" i="2"/>
  <c r="C9" i="2"/>
  <c r="L9" i="2"/>
  <c r="M9" i="2"/>
  <c r="N9" i="2"/>
  <c r="O9" i="2"/>
  <c r="P9" i="2"/>
  <c r="C10" i="2"/>
  <c r="L10" i="2"/>
  <c r="M10" i="2"/>
  <c r="N10" i="2"/>
  <c r="O10" i="2"/>
  <c r="P10" i="2"/>
  <c r="C11" i="2"/>
  <c r="L11" i="2"/>
  <c r="M11" i="2"/>
  <c r="N11" i="2"/>
  <c r="O11" i="2"/>
  <c r="P11" i="2"/>
  <c r="C12" i="2"/>
  <c r="L12" i="2"/>
  <c r="M12" i="2"/>
  <c r="N12" i="2"/>
  <c r="O12" i="2"/>
  <c r="P12" i="2"/>
  <c r="C13" i="2"/>
  <c r="L13" i="2"/>
  <c r="M13" i="2"/>
  <c r="N13" i="2"/>
  <c r="O13" i="2"/>
  <c r="P13" i="2"/>
  <c r="C14" i="2"/>
  <c r="L14" i="2"/>
  <c r="M14" i="2"/>
  <c r="N14" i="2"/>
  <c r="O14" i="2"/>
  <c r="P14" i="2"/>
  <c r="C15" i="2"/>
  <c r="L15" i="2"/>
  <c r="M15" i="2"/>
  <c r="N15" i="2"/>
  <c r="O15" i="2"/>
  <c r="P15" i="2"/>
  <c r="C16" i="2"/>
  <c r="L16" i="2"/>
  <c r="M16" i="2"/>
  <c r="N16" i="2"/>
  <c r="O16" i="2"/>
  <c r="P16" i="2"/>
  <c r="C17" i="2"/>
  <c r="L17" i="2"/>
  <c r="M17" i="2"/>
  <c r="N17" i="2"/>
  <c r="O17" i="2"/>
  <c r="P17" i="2"/>
  <c r="C18" i="2"/>
  <c r="L18" i="2"/>
  <c r="M18" i="2"/>
  <c r="N18" i="2"/>
  <c r="O18" i="2"/>
  <c r="P18" i="2"/>
  <c r="C19" i="2"/>
  <c r="L19" i="2"/>
  <c r="M19" i="2"/>
  <c r="N19" i="2"/>
  <c r="O19" i="2"/>
  <c r="P19" i="2"/>
  <c r="C20" i="2"/>
  <c r="L20" i="2"/>
  <c r="M20" i="2"/>
  <c r="N20" i="2"/>
  <c r="O20" i="2"/>
  <c r="P20" i="2"/>
  <c r="C21" i="2"/>
  <c r="L21" i="2"/>
  <c r="M21" i="2"/>
  <c r="N21" i="2"/>
  <c r="O21" i="2"/>
  <c r="P21" i="2"/>
  <c r="C22" i="2"/>
  <c r="L22" i="2"/>
  <c r="M22" i="2"/>
  <c r="N22" i="2"/>
  <c r="O22" i="2"/>
  <c r="P22" i="2"/>
  <c r="C23" i="2"/>
  <c r="L23" i="2"/>
  <c r="M23" i="2"/>
  <c r="N23" i="2"/>
  <c r="O23" i="2"/>
  <c r="P23" i="2"/>
  <c r="C24" i="2"/>
  <c r="L24" i="2"/>
  <c r="M24" i="2"/>
  <c r="N24" i="2"/>
  <c r="O24" i="2"/>
  <c r="P24" i="2"/>
  <c r="C25" i="2"/>
  <c r="L25" i="2"/>
  <c r="M25" i="2"/>
  <c r="N25" i="2"/>
  <c r="O25" i="2"/>
  <c r="P25" i="2"/>
  <c r="C26" i="2"/>
  <c r="L26" i="2"/>
  <c r="M26" i="2"/>
  <c r="N26" i="2"/>
  <c r="O26" i="2"/>
  <c r="P26" i="2"/>
  <c r="C27" i="2"/>
  <c r="L27" i="2"/>
  <c r="M27" i="2"/>
  <c r="N27" i="2"/>
  <c r="O27" i="2"/>
  <c r="P27" i="2"/>
  <c r="C28" i="2"/>
  <c r="L28" i="2"/>
  <c r="M28" i="2"/>
  <c r="N28" i="2"/>
  <c r="O28" i="2"/>
  <c r="P28" i="2"/>
  <c r="C29" i="2"/>
  <c r="L29" i="2"/>
  <c r="M29" i="2"/>
  <c r="N29" i="2"/>
  <c r="O29" i="2"/>
  <c r="P29" i="2"/>
  <c r="C30" i="2"/>
  <c r="L30" i="2"/>
  <c r="M30" i="2"/>
  <c r="N30" i="2"/>
  <c r="O30" i="2"/>
  <c r="P30" i="2"/>
  <c r="C31" i="2"/>
  <c r="L31" i="2"/>
  <c r="M31" i="2"/>
  <c r="N31" i="2"/>
  <c r="O31" i="2"/>
  <c r="P31" i="2"/>
  <c r="C32" i="2"/>
  <c r="L32" i="2"/>
  <c r="M32" i="2"/>
  <c r="N32" i="2"/>
  <c r="O32" i="2"/>
  <c r="P32" i="2"/>
  <c r="C33" i="2"/>
  <c r="L33" i="2"/>
  <c r="M33" i="2"/>
  <c r="N33" i="2"/>
  <c r="O33" i="2"/>
  <c r="P33" i="2"/>
  <c r="C34" i="2"/>
  <c r="L34" i="2"/>
  <c r="M34" i="2"/>
  <c r="N34" i="2"/>
  <c r="O34" i="2"/>
  <c r="P34" i="2"/>
  <c r="C35" i="2"/>
  <c r="L35" i="2"/>
  <c r="M35" i="2"/>
  <c r="N35" i="2"/>
  <c r="O35" i="2"/>
  <c r="P35" i="2"/>
  <c r="C36" i="2"/>
  <c r="L36" i="2"/>
  <c r="M36" i="2"/>
  <c r="N36" i="2"/>
  <c r="O36" i="2"/>
  <c r="P36" i="2"/>
  <c r="C37" i="2"/>
  <c r="L37" i="2"/>
  <c r="M37" i="2"/>
  <c r="N37" i="2"/>
  <c r="O37" i="2"/>
  <c r="P37" i="2"/>
  <c r="C38" i="2"/>
  <c r="L38" i="2"/>
  <c r="M38" i="2"/>
  <c r="N38" i="2"/>
  <c r="O38" i="2"/>
  <c r="P38" i="2"/>
  <c r="C39" i="2"/>
  <c r="L39" i="2"/>
  <c r="M39" i="2"/>
  <c r="N39" i="2"/>
  <c r="O39" i="2"/>
  <c r="P39" i="2"/>
  <c r="C40" i="2"/>
  <c r="L40" i="2"/>
  <c r="M40" i="2"/>
  <c r="N40" i="2"/>
  <c r="O40" i="2"/>
  <c r="P40" i="2"/>
  <c r="C41" i="2"/>
  <c r="L41" i="2"/>
  <c r="M41" i="2"/>
  <c r="N41" i="2"/>
  <c r="O41" i="2"/>
  <c r="P41" i="2"/>
  <c r="C42" i="2"/>
  <c r="L42" i="2"/>
  <c r="M42" i="2"/>
  <c r="N42" i="2"/>
  <c r="O42" i="2"/>
  <c r="P42" i="2"/>
  <c r="C43" i="2"/>
  <c r="L43" i="2"/>
  <c r="M43" i="2"/>
  <c r="N43" i="2"/>
  <c r="O43" i="2"/>
  <c r="P43" i="2"/>
  <c r="C44" i="2"/>
  <c r="L44" i="2"/>
  <c r="M44" i="2"/>
  <c r="N44" i="2"/>
  <c r="O44" i="2"/>
  <c r="P44" i="2"/>
  <c r="C45" i="2"/>
  <c r="L45" i="2"/>
  <c r="M45" i="2"/>
  <c r="N45" i="2"/>
  <c r="O45" i="2"/>
  <c r="P45" i="2"/>
  <c r="C46" i="2"/>
  <c r="L46" i="2"/>
  <c r="M46" i="2"/>
  <c r="N46" i="2"/>
  <c r="O46" i="2"/>
  <c r="P46" i="2"/>
  <c r="C47" i="2"/>
  <c r="L47" i="2"/>
  <c r="M47" i="2"/>
  <c r="N47" i="2"/>
  <c r="O47" i="2"/>
  <c r="P47" i="2"/>
  <c r="C48" i="2"/>
  <c r="L48" i="2"/>
  <c r="M48" i="2"/>
  <c r="N48" i="2"/>
  <c r="O48" i="2"/>
  <c r="P48" i="2"/>
  <c r="C49" i="2"/>
  <c r="L49" i="2"/>
  <c r="M49" i="2"/>
  <c r="N49" i="2"/>
  <c r="O49" i="2"/>
  <c r="P49" i="2"/>
  <c r="C50" i="2"/>
  <c r="L50" i="2"/>
  <c r="M50" i="2"/>
  <c r="N50" i="2"/>
  <c r="O50" i="2"/>
  <c r="P50" i="2"/>
  <c r="C51" i="2"/>
  <c r="L51" i="2"/>
  <c r="M51" i="2"/>
  <c r="N51" i="2"/>
  <c r="O51" i="2"/>
  <c r="P51" i="2"/>
  <c r="C59" i="3" l="1"/>
  <c r="C60" i="3"/>
  <c r="C61" i="3"/>
  <c r="C58" i="3"/>
  <c r="R51" i="2"/>
  <c r="R50" i="2"/>
  <c r="R48" i="2"/>
  <c r="R46" i="2"/>
  <c r="R44" i="2"/>
  <c r="R42" i="2"/>
  <c r="R40" i="2"/>
  <c r="R38" i="2"/>
  <c r="R36" i="2"/>
  <c r="R34" i="2"/>
  <c r="R32" i="2"/>
  <c r="R30" i="2"/>
  <c r="R28" i="2"/>
  <c r="R26" i="2"/>
  <c r="R24" i="2"/>
  <c r="R22" i="2"/>
  <c r="R20" i="2"/>
  <c r="R18" i="2"/>
  <c r="R16" i="2"/>
  <c r="R14" i="2"/>
  <c r="R12" i="2"/>
  <c r="R49" i="2"/>
  <c r="R47" i="2"/>
  <c r="R45" i="2"/>
  <c r="R43" i="2"/>
  <c r="R41" i="2"/>
  <c r="R39" i="2"/>
  <c r="R37" i="2"/>
  <c r="R35" i="2"/>
  <c r="R33" i="2"/>
  <c r="R31" i="2"/>
  <c r="R29" i="2"/>
  <c r="R27" i="2"/>
  <c r="R25" i="2"/>
  <c r="R23" i="2"/>
  <c r="R21" i="2"/>
  <c r="R19" i="2"/>
  <c r="R17" i="2"/>
  <c r="R15" i="2"/>
  <c r="R13" i="2"/>
  <c r="R11" i="2"/>
  <c r="R10" i="2"/>
  <c r="R9" i="2"/>
  <c r="R8" i="2"/>
  <c r="R7" i="2"/>
  <c r="R6" i="2"/>
  <c r="R5" i="2"/>
  <c r="R4" i="2"/>
  <c r="R3" i="2"/>
  <c r="G58" i="3"/>
  <c r="G59" i="3"/>
  <c r="G60" i="3"/>
  <c r="G61" i="3"/>
  <c r="Q2" i="2"/>
  <c r="R2" i="2"/>
  <c r="D58" i="3"/>
  <c r="H58" i="3"/>
  <c r="D59" i="3"/>
  <c r="H59" i="3"/>
  <c r="D60" i="3"/>
  <c r="H60" i="3"/>
  <c r="D61" i="3"/>
  <c r="H61" i="3"/>
  <c r="S51" i="2"/>
  <c r="U51" i="2"/>
  <c r="S50" i="2"/>
  <c r="U50" i="2"/>
  <c r="S49" i="2"/>
  <c r="U49" i="2"/>
  <c r="S48" i="2"/>
  <c r="U48" i="2"/>
  <c r="S47" i="2"/>
  <c r="U47" i="2"/>
  <c r="S46" i="2"/>
  <c r="U46" i="2"/>
  <c r="S45" i="2"/>
  <c r="U45" i="2"/>
  <c r="S44" i="2"/>
  <c r="U44" i="2"/>
  <c r="S43" i="2"/>
  <c r="U43" i="2"/>
  <c r="S42" i="2"/>
  <c r="U42" i="2"/>
  <c r="S41" i="2"/>
  <c r="U41" i="2"/>
  <c r="S40" i="2"/>
  <c r="U40" i="2"/>
  <c r="S39" i="2"/>
  <c r="U39" i="2"/>
  <c r="S38" i="2"/>
  <c r="U38" i="2"/>
  <c r="S37" i="2"/>
  <c r="U37" i="2"/>
  <c r="S36" i="2"/>
  <c r="U36" i="2"/>
  <c r="S35" i="2"/>
  <c r="U35" i="2"/>
  <c r="S34" i="2"/>
  <c r="U34" i="2"/>
  <c r="S33" i="2"/>
  <c r="U33" i="2"/>
  <c r="S32" i="2"/>
  <c r="U32" i="2"/>
  <c r="S31" i="2"/>
  <c r="U31" i="2"/>
  <c r="S30" i="2"/>
  <c r="U30" i="2"/>
  <c r="S29" i="2"/>
  <c r="U29" i="2"/>
  <c r="S28" i="2"/>
  <c r="U28" i="2"/>
  <c r="S27" i="2"/>
  <c r="U27" i="2"/>
  <c r="S26" i="2"/>
  <c r="U26" i="2"/>
  <c r="S25" i="2"/>
  <c r="U25" i="2"/>
  <c r="S24" i="2"/>
  <c r="U24" i="2"/>
  <c r="S23" i="2"/>
  <c r="U23" i="2"/>
  <c r="S22" i="2"/>
  <c r="U22" i="2"/>
  <c r="S21" i="2"/>
  <c r="U21" i="2"/>
  <c r="S20" i="2"/>
  <c r="U20" i="2"/>
  <c r="S19" i="2"/>
  <c r="U19" i="2"/>
  <c r="S18" i="2"/>
  <c r="U18" i="2"/>
  <c r="S17" i="2"/>
  <c r="U17" i="2"/>
  <c r="S16" i="2"/>
  <c r="U16" i="2"/>
  <c r="S15" i="2"/>
  <c r="U15" i="2"/>
  <c r="S14" i="2"/>
  <c r="U14" i="2"/>
  <c r="S13" i="2"/>
  <c r="U13" i="2"/>
  <c r="S12" i="2"/>
  <c r="U12" i="2"/>
  <c r="S11" i="2"/>
  <c r="U11" i="2"/>
  <c r="S10" i="2"/>
  <c r="U10" i="2"/>
  <c r="S9" i="2"/>
  <c r="U9" i="2"/>
  <c r="S8" i="2"/>
  <c r="U8" i="2"/>
  <c r="S7" i="2"/>
  <c r="U7" i="2"/>
  <c r="S6" i="2"/>
  <c r="U6" i="2"/>
  <c r="S5" i="2"/>
  <c r="U5" i="2"/>
  <c r="S4" i="2"/>
  <c r="U4" i="2"/>
  <c r="S3" i="2"/>
  <c r="U3" i="2"/>
  <c r="S2" i="2"/>
  <c r="U2" i="2"/>
  <c r="S36" i="3" s="1"/>
  <c r="T36" i="3" s="1"/>
  <c r="T49" i="2"/>
  <c r="Q49" i="2"/>
  <c r="T47" i="2"/>
  <c r="Q47" i="2"/>
  <c r="T45" i="2"/>
  <c r="Q45" i="2"/>
  <c r="T43" i="2"/>
  <c r="Q43" i="2"/>
  <c r="T42" i="2"/>
  <c r="Q42" i="2"/>
  <c r="T41" i="2"/>
  <c r="Q41" i="2"/>
  <c r="T40" i="2"/>
  <c r="Q40" i="2"/>
  <c r="T39" i="2"/>
  <c r="Q39" i="2"/>
  <c r="T38" i="2"/>
  <c r="Q38" i="2"/>
  <c r="T37" i="2"/>
  <c r="Q37" i="2"/>
  <c r="T36" i="2"/>
  <c r="Q36" i="2"/>
  <c r="T35" i="2"/>
  <c r="Q35" i="2"/>
  <c r="T34" i="2"/>
  <c r="Q34" i="2"/>
  <c r="T33" i="2"/>
  <c r="Q33" i="2"/>
  <c r="T32" i="2"/>
  <c r="Q32" i="2"/>
  <c r="T31" i="2"/>
  <c r="Q31" i="2"/>
  <c r="T30" i="2"/>
  <c r="Q30" i="2"/>
  <c r="T29" i="2"/>
  <c r="Q29" i="2"/>
  <c r="T28" i="2"/>
  <c r="Q28" i="2"/>
  <c r="T27" i="2"/>
  <c r="Q27" i="2"/>
  <c r="T26" i="2"/>
  <c r="Q26" i="2"/>
  <c r="T25" i="2"/>
  <c r="Q25" i="2"/>
  <c r="T24" i="2"/>
  <c r="Q24" i="2"/>
  <c r="T23" i="2"/>
  <c r="Q23" i="2"/>
  <c r="T22" i="2"/>
  <c r="Q22" i="2"/>
  <c r="T21" i="2"/>
  <c r="Q21" i="2"/>
  <c r="Q20" i="2"/>
  <c r="T20" i="2"/>
  <c r="T19" i="2"/>
  <c r="Q19" i="2"/>
  <c r="Q18" i="2"/>
  <c r="T18" i="2"/>
  <c r="T17" i="2"/>
  <c r="Q17" i="2"/>
  <c r="Q16" i="2"/>
  <c r="T16" i="2"/>
  <c r="T15" i="2"/>
  <c r="Q15" i="2"/>
  <c r="Q14" i="2"/>
  <c r="T14" i="2"/>
  <c r="T13" i="2"/>
  <c r="Q13" i="2"/>
  <c r="Q12" i="2"/>
  <c r="T12" i="2"/>
  <c r="T11" i="2"/>
  <c r="Q11" i="2"/>
  <c r="Q10" i="2"/>
  <c r="T10" i="2"/>
  <c r="T9" i="2"/>
  <c r="Q9" i="2"/>
  <c r="Q8" i="2"/>
  <c r="T8" i="2"/>
  <c r="T7" i="2"/>
  <c r="Q7" i="2"/>
  <c r="Q6" i="2"/>
  <c r="T6" i="2"/>
  <c r="T5" i="2"/>
  <c r="Q5" i="2"/>
  <c r="Q4" i="2"/>
  <c r="T4" i="2"/>
  <c r="T3" i="2"/>
  <c r="Q3" i="2"/>
  <c r="T2" i="2"/>
  <c r="T51" i="2"/>
  <c r="Q51" i="2"/>
  <c r="T50" i="2"/>
  <c r="Q50" i="2"/>
  <c r="T48" i="2"/>
  <c r="Q48" i="2"/>
  <c r="T46" i="2"/>
  <c r="Q46" i="2"/>
  <c r="T44" i="2"/>
  <c r="Q44" i="2"/>
  <c r="K22" i="3" l="1"/>
  <c r="L22" i="3" s="1"/>
  <c r="G24" i="3"/>
  <c r="H24" i="3" s="1"/>
  <c r="G26" i="3"/>
  <c r="H26" i="3" s="1"/>
  <c r="G35" i="3"/>
  <c r="H35" i="3" s="1"/>
  <c r="C37" i="3"/>
  <c r="D37" i="3" s="1"/>
  <c r="O8" i="3"/>
  <c r="P8" i="3" s="1"/>
  <c r="O31" i="3"/>
  <c r="P31" i="3" s="1"/>
  <c r="S8" i="3"/>
  <c r="T8" i="3" s="1"/>
  <c r="S29" i="3"/>
  <c r="T29" i="3" s="1"/>
  <c r="O28" i="3"/>
  <c r="P28" i="3" s="1"/>
  <c r="K21" i="3"/>
  <c r="L21" i="3" s="1"/>
  <c r="K37" i="3"/>
  <c r="L37" i="3" s="1"/>
  <c r="O19" i="3"/>
  <c r="P19" i="3" s="1"/>
  <c r="O35" i="3"/>
  <c r="P35" i="3" s="1"/>
  <c r="S12" i="3"/>
  <c r="T12" i="3" s="1"/>
  <c r="K35" i="3"/>
  <c r="L35" i="3" s="1"/>
  <c r="O12" i="3"/>
  <c r="P12" i="3" s="1"/>
  <c r="O33" i="3"/>
  <c r="P33" i="3" s="1"/>
  <c r="S10" i="3"/>
  <c r="T10" i="3" s="1"/>
  <c r="C30" i="3"/>
  <c r="D30" i="3" s="1"/>
  <c r="K33" i="3"/>
  <c r="L33" i="3" s="1"/>
  <c r="G28" i="3"/>
  <c r="H28" i="3" s="1"/>
  <c r="O37" i="3"/>
  <c r="P37" i="3" s="1"/>
  <c r="S19" i="3"/>
  <c r="T19" i="3" s="1"/>
  <c r="S35" i="3"/>
  <c r="T35" i="3" s="1"/>
  <c r="C18" i="3"/>
  <c r="D18" i="3" s="1"/>
  <c r="C34" i="3"/>
  <c r="D34" i="3" s="1"/>
  <c r="G11" i="3"/>
  <c r="H11" i="3" s="1"/>
  <c r="S33" i="3"/>
  <c r="T33" i="3" s="1"/>
  <c r="C11" i="3"/>
  <c r="D11" i="3" s="1"/>
  <c r="C32" i="3"/>
  <c r="D32" i="3" s="1"/>
  <c r="G9" i="3"/>
  <c r="H9" i="3" s="1"/>
  <c r="K28" i="3"/>
  <c r="L28" i="3" s="1"/>
  <c r="O10" i="3"/>
  <c r="P10" i="3" s="1"/>
  <c r="O21" i="3"/>
  <c r="P21" i="3" s="1"/>
  <c r="C36" i="3"/>
  <c r="D36" i="3" s="1"/>
  <c r="G18" i="3"/>
  <c r="H18" i="3" s="1"/>
  <c r="G34" i="3"/>
  <c r="H34" i="3" s="1"/>
  <c r="K11" i="3"/>
  <c r="L11" i="3" s="1"/>
  <c r="K32" i="3"/>
  <c r="L32" i="3" s="1"/>
  <c r="O9" i="3"/>
  <c r="P9" i="3" s="1"/>
  <c r="G32" i="3"/>
  <c r="H32" i="3" s="1"/>
  <c r="K9" i="3"/>
  <c r="L9" i="3" s="1"/>
  <c r="K30" i="3"/>
  <c r="L30" i="3" s="1"/>
  <c r="G30" i="3"/>
  <c r="H30" i="3" s="1"/>
  <c r="S21" i="3"/>
  <c r="T21" i="3" s="1"/>
  <c r="S37" i="3"/>
  <c r="T37" i="3" s="1"/>
  <c r="C20" i="3"/>
  <c r="D20" i="3" s="1"/>
  <c r="K34" i="3"/>
  <c r="L34" i="3" s="1"/>
  <c r="O11" i="3"/>
  <c r="P11" i="3" s="1"/>
  <c r="O32" i="3"/>
  <c r="P32" i="3" s="1"/>
  <c r="S9" i="3"/>
  <c r="T9" i="3" s="1"/>
  <c r="S30" i="3"/>
  <c r="T30" i="3" s="1"/>
  <c r="C8" i="3"/>
  <c r="D8" i="3" s="1"/>
  <c r="O30" i="3"/>
  <c r="P30" i="3" s="1"/>
  <c r="S28" i="3"/>
  <c r="T28" i="3" s="1"/>
  <c r="C9" i="3"/>
  <c r="D9" i="3" s="1"/>
  <c r="G20" i="3"/>
  <c r="H20" i="3" s="1"/>
  <c r="G36" i="3"/>
  <c r="H36" i="3" s="1"/>
  <c r="K18" i="3"/>
  <c r="L18" i="3" s="1"/>
  <c r="S32" i="3"/>
  <c r="T32" i="3" s="1"/>
  <c r="C10" i="3"/>
  <c r="D10" i="3" s="1"/>
  <c r="C31" i="3"/>
  <c r="D31" i="3" s="1"/>
  <c r="G8" i="3"/>
  <c r="H8" i="3" s="1"/>
  <c r="G29" i="3"/>
  <c r="H29" i="3" s="1"/>
  <c r="C29" i="3"/>
  <c r="D29" i="3" s="1"/>
  <c r="S31" i="3"/>
  <c r="T31" i="3" s="1"/>
  <c r="G22" i="3"/>
  <c r="H22" i="3" s="1"/>
  <c r="K36" i="3"/>
  <c r="L36" i="3" s="1"/>
  <c r="O18" i="3"/>
  <c r="P18" i="3" s="1"/>
  <c r="O34" i="3"/>
  <c r="P34" i="3" s="1"/>
  <c r="S11" i="3"/>
  <c r="T11" i="3" s="1"/>
  <c r="G31" i="3"/>
  <c r="H31" i="3" s="1"/>
  <c r="K8" i="3"/>
  <c r="L8" i="3" s="1"/>
  <c r="K29" i="3"/>
  <c r="L29" i="3" s="1"/>
  <c r="O22" i="3"/>
  <c r="P22" i="3" s="1"/>
  <c r="C35" i="3"/>
  <c r="D35" i="3" s="1"/>
  <c r="G12" i="3"/>
  <c r="H12" i="3" s="1"/>
  <c r="O20" i="3"/>
  <c r="P20" i="3" s="1"/>
  <c r="K5" i="3"/>
  <c r="L5" i="3" s="1"/>
  <c r="S34" i="3"/>
  <c r="T34" i="3" s="1"/>
  <c r="C12" i="3"/>
  <c r="D12" i="3" s="1"/>
  <c r="C33" i="3"/>
  <c r="D33" i="3" s="1"/>
  <c r="G10" i="3"/>
  <c r="H10" i="3" s="1"/>
  <c r="O29" i="3"/>
  <c r="P29" i="3" s="1"/>
  <c r="O36" i="3"/>
  <c r="P36" i="3" s="1"/>
  <c r="S22" i="3"/>
  <c r="T22" i="3" s="1"/>
  <c r="C22" i="3"/>
  <c r="D22" i="3" s="1"/>
  <c r="C21" i="3"/>
  <c r="D21" i="3" s="1"/>
  <c r="S18" i="3"/>
  <c r="T18" i="3" s="1"/>
  <c r="S20" i="3"/>
  <c r="T20" i="3" s="1"/>
  <c r="C19" i="3"/>
  <c r="D19" i="3" s="1"/>
  <c r="G33" i="3"/>
  <c r="H33" i="3" s="1"/>
  <c r="K10" i="3"/>
  <c r="L10" i="3" s="1"/>
  <c r="K31" i="3"/>
  <c r="L31" i="3" s="1"/>
  <c r="C28" i="3"/>
  <c r="D28" i="3" s="1"/>
  <c r="K20" i="3"/>
  <c r="L20" i="3" s="1"/>
  <c r="G21" i="3"/>
  <c r="H21" i="3" s="1"/>
  <c r="G37" i="3"/>
  <c r="H37" i="3" s="1"/>
  <c r="K19" i="3"/>
  <c r="L19" i="3" s="1"/>
  <c r="G19" i="3"/>
  <c r="H19" i="3" s="1"/>
  <c r="K12" i="3"/>
  <c r="L12" i="3" s="1"/>
  <c r="G42" i="3"/>
  <c r="H42" i="3" s="1"/>
  <c r="G7" i="3"/>
  <c r="H7" i="3" s="1"/>
  <c r="G38" i="3"/>
  <c r="H38" i="3" s="1"/>
  <c r="G15" i="3"/>
  <c r="H15" i="3" s="1"/>
  <c r="G13" i="3"/>
  <c r="H13" i="3" s="1"/>
  <c r="C17" i="3"/>
  <c r="D17" i="3" s="1"/>
  <c r="G6" i="3"/>
  <c r="H6" i="3" s="1"/>
  <c r="G40" i="3"/>
  <c r="H40" i="3" s="1"/>
  <c r="G17" i="3"/>
  <c r="H17" i="3" s="1"/>
  <c r="G4" i="3"/>
  <c r="H4" i="3" s="1"/>
  <c r="G41" i="3"/>
  <c r="H41" i="3" s="1"/>
  <c r="G27" i="3"/>
  <c r="H27" i="3" s="1"/>
  <c r="G23" i="3"/>
  <c r="H23" i="3" s="1"/>
  <c r="G14" i="3"/>
  <c r="H14" i="3" s="1"/>
  <c r="G5" i="3"/>
  <c r="H5" i="3" s="1"/>
  <c r="K38" i="3"/>
  <c r="L38" i="3" s="1"/>
  <c r="K15" i="3"/>
  <c r="L15" i="3" s="1"/>
  <c r="K39" i="3"/>
  <c r="L39" i="3" s="1"/>
  <c r="K16" i="3"/>
  <c r="L16" i="3" s="1"/>
  <c r="O5" i="3"/>
  <c r="P5" i="3" s="1"/>
  <c r="S5" i="3"/>
  <c r="K42" i="3"/>
  <c r="L42" i="3" s="1"/>
  <c r="K24" i="3"/>
  <c r="L24" i="3" s="1"/>
  <c r="K6" i="3"/>
  <c r="L6" i="3" s="1"/>
  <c r="K25" i="3"/>
  <c r="L25" i="3" s="1"/>
  <c r="K7" i="3"/>
  <c r="L7" i="3" s="1"/>
  <c r="K3" i="3"/>
  <c r="L3" i="3" s="1"/>
  <c r="G3" i="3"/>
  <c r="H3" i="3" s="1"/>
  <c r="G39" i="3"/>
  <c r="H39" i="3" s="1"/>
  <c r="G25" i="3"/>
  <c r="H25" i="3" s="1"/>
  <c r="G16" i="3"/>
  <c r="H16" i="3" s="1"/>
  <c r="O42" i="3"/>
  <c r="P42" i="3" s="1"/>
  <c r="O38" i="3"/>
  <c r="P38" i="3" s="1"/>
  <c r="O24" i="3"/>
  <c r="P24" i="3" s="1"/>
  <c r="O15" i="3"/>
  <c r="P15" i="3" s="1"/>
  <c r="O6" i="3"/>
  <c r="P6" i="3" s="1"/>
  <c r="S42" i="3"/>
  <c r="T42" i="3" s="1"/>
  <c r="S38" i="3"/>
  <c r="T38" i="3" s="1"/>
  <c r="S24" i="3"/>
  <c r="T24" i="3" s="1"/>
  <c r="S15" i="3"/>
  <c r="T15" i="3" s="1"/>
  <c r="S6" i="3"/>
  <c r="O3" i="3"/>
  <c r="O39" i="3"/>
  <c r="P39" i="3" s="1"/>
  <c r="O25" i="3"/>
  <c r="P25" i="3" s="1"/>
  <c r="O16" i="3"/>
  <c r="P16" i="3" s="1"/>
  <c r="O7" i="3"/>
  <c r="P7" i="3" s="1"/>
  <c r="S3" i="3"/>
  <c r="T3" i="3" s="1"/>
  <c r="S39" i="3"/>
  <c r="T39" i="3" s="1"/>
  <c r="S25" i="3"/>
  <c r="T25" i="3" s="1"/>
  <c r="S16" i="3"/>
  <c r="T16" i="3" s="1"/>
  <c r="S7" i="3"/>
  <c r="T7" i="3" s="1"/>
  <c r="K40" i="3"/>
  <c r="L40" i="3" s="1"/>
  <c r="K26" i="3"/>
  <c r="L26" i="3" s="1"/>
  <c r="K17" i="3"/>
  <c r="L17" i="3" s="1"/>
  <c r="K13" i="3"/>
  <c r="L13" i="3" s="1"/>
  <c r="K4" i="3"/>
  <c r="L4" i="3" s="1"/>
  <c r="O40" i="3"/>
  <c r="P40" i="3" s="1"/>
  <c r="O26" i="3"/>
  <c r="P26" i="3" s="1"/>
  <c r="O17" i="3"/>
  <c r="P17" i="3" s="1"/>
  <c r="O13" i="3"/>
  <c r="P13" i="3" s="1"/>
  <c r="O4" i="3"/>
  <c r="P4" i="3" s="1"/>
  <c r="S40" i="3"/>
  <c r="T40" i="3" s="1"/>
  <c r="S26" i="3"/>
  <c r="T26" i="3" s="1"/>
  <c r="S17" i="3"/>
  <c r="T17" i="3" s="1"/>
  <c r="S13" i="3"/>
  <c r="T13" i="3" s="1"/>
  <c r="S4" i="3"/>
  <c r="T4" i="3" s="1"/>
  <c r="K41" i="3"/>
  <c r="L41" i="3" s="1"/>
  <c r="K27" i="3"/>
  <c r="L27" i="3" s="1"/>
  <c r="K23" i="3"/>
  <c r="L23" i="3" s="1"/>
  <c r="K14" i="3"/>
  <c r="L14" i="3" s="1"/>
  <c r="O41" i="3"/>
  <c r="P41" i="3" s="1"/>
  <c r="O27" i="3"/>
  <c r="P27" i="3" s="1"/>
  <c r="O23" i="3"/>
  <c r="P23" i="3" s="1"/>
  <c r="O14" i="3"/>
  <c r="P14" i="3" s="1"/>
  <c r="S41" i="3"/>
  <c r="T41" i="3" s="1"/>
  <c r="S27" i="3"/>
  <c r="T27" i="3" s="1"/>
  <c r="S23" i="3"/>
  <c r="T23" i="3" s="1"/>
  <c r="S14" i="3"/>
  <c r="C14" i="3"/>
  <c r="D14" i="3" s="1"/>
  <c r="T14" i="3"/>
  <c r="T6" i="3"/>
  <c r="T5" i="3"/>
  <c r="C7" i="3"/>
  <c r="D7" i="3" s="1"/>
  <c r="C40" i="3"/>
  <c r="D40" i="3" s="1"/>
  <c r="C26" i="3"/>
  <c r="D26" i="3" s="1"/>
  <c r="C13" i="3"/>
  <c r="D13" i="3" s="1"/>
  <c r="C3" i="3"/>
  <c r="C4" i="3"/>
  <c r="D4" i="3" s="1"/>
  <c r="C39" i="3"/>
  <c r="D39" i="3" s="1"/>
  <c r="C25" i="3"/>
  <c r="D25" i="3" s="1"/>
  <c r="C16" i="3"/>
  <c r="D16" i="3" s="1"/>
  <c r="C42" i="3"/>
  <c r="D42" i="3" s="1"/>
  <c r="C38" i="3"/>
  <c r="D38" i="3" s="1"/>
  <c r="C24" i="3"/>
  <c r="D24" i="3" s="1"/>
  <c r="C15" i="3"/>
  <c r="D15" i="3" s="1"/>
  <c r="C5" i="3"/>
  <c r="D5" i="3" s="1"/>
  <c r="C6" i="3"/>
  <c r="D6" i="3" s="1"/>
  <c r="C41" i="3"/>
  <c r="D41" i="3" s="1"/>
  <c r="C27" i="3"/>
  <c r="D27" i="3" s="1"/>
  <c r="C23" i="3"/>
  <c r="D23" i="3" s="1"/>
  <c r="T43" i="3" l="1"/>
  <c r="S46" i="3"/>
  <c r="S45" i="3"/>
  <c r="S44" i="3"/>
  <c r="S43" i="3"/>
  <c r="S47" i="3"/>
  <c r="T46" i="3"/>
  <c r="T45" i="3"/>
  <c r="T44" i="3"/>
  <c r="T47" i="3"/>
  <c r="G47" i="3"/>
  <c r="G46" i="3"/>
  <c r="H47" i="3"/>
  <c r="G45" i="3"/>
  <c r="H46" i="3"/>
  <c r="G44" i="3"/>
  <c r="H45" i="3"/>
  <c r="G43" i="3"/>
  <c r="H44" i="3"/>
  <c r="H43" i="3"/>
  <c r="L43" i="3"/>
  <c r="L44" i="3"/>
  <c r="K47" i="3"/>
  <c r="K46" i="3"/>
  <c r="L47" i="3"/>
  <c r="K45" i="3"/>
  <c r="L46" i="3"/>
  <c r="K44" i="3"/>
  <c r="L45" i="3"/>
  <c r="K43" i="3"/>
  <c r="H49" i="3"/>
  <c r="H51" i="3"/>
  <c r="G48" i="3"/>
  <c r="G50" i="3"/>
  <c r="G52" i="3"/>
  <c r="H48" i="3"/>
  <c r="H50" i="3"/>
  <c r="H52" i="3"/>
  <c r="G49" i="3"/>
  <c r="G51" i="3"/>
  <c r="K50" i="3"/>
  <c r="K51" i="3"/>
  <c r="K49" i="3"/>
  <c r="K52" i="3"/>
  <c r="K48" i="3"/>
  <c r="P3" i="3"/>
  <c r="P50" i="3" s="1"/>
  <c r="L52" i="3"/>
  <c r="L49" i="3"/>
  <c r="L50" i="3"/>
  <c r="L48" i="3"/>
  <c r="L51" i="3"/>
  <c r="T48" i="3"/>
  <c r="S48" i="3"/>
  <c r="T50" i="3"/>
  <c r="T52" i="3"/>
  <c r="S49" i="3"/>
  <c r="S51" i="3"/>
  <c r="T49" i="3"/>
  <c r="T51" i="3"/>
  <c r="S50" i="3"/>
  <c r="S52" i="3"/>
  <c r="D3" i="3"/>
  <c r="O51" i="3" l="1"/>
  <c r="O44" i="3"/>
  <c r="P45" i="3"/>
  <c r="O43" i="3"/>
  <c r="P44" i="3"/>
  <c r="O45" i="3"/>
  <c r="P43" i="3"/>
  <c r="P46" i="3"/>
  <c r="O47" i="3"/>
  <c r="O46" i="3"/>
  <c r="P47" i="3"/>
  <c r="D48" i="3"/>
  <c r="C43" i="3"/>
  <c r="C47" i="3"/>
  <c r="D43" i="3"/>
  <c r="D47" i="3"/>
  <c r="C44" i="3"/>
  <c r="D44" i="3"/>
  <c r="C45" i="3"/>
  <c r="D46" i="3"/>
  <c r="D45" i="3"/>
  <c r="C46" i="3"/>
  <c r="O52" i="3"/>
  <c r="O50" i="3"/>
  <c r="O49" i="3"/>
  <c r="P51" i="3"/>
  <c r="P52" i="3"/>
  <c r="P49" i="3"/>
  <c r="O48" i="3"/>
  <c r="P48" i="3"/>
  <c r="C49" i="3"/>
  <c r="C50" i="3"/>
  <c r="C51" i="3"/>
  <c r="C52" i="3"/>
  <c r="D49" i="3"/>
  <c r="D50" i="3"/>
  <c r="D51" i="3"/>
  <c r="D52" i="3"/>
  <c r="C4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Smallman</author>
  </authors>
  <commentList>
    <comment ref="J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Smallman:</t>
        </r>
        <r>
          <rPr>
            <sz val="9"/>
            <color indexed="81"/>
            <rFont val="Tahoma"/>
            <family val="2"/>
          </rPr>
          <t xml:space="preserve">
Expenses were derived from Wiki and are indicitive only.</t>
        </r>
      </text>
    </comment>
  </commentList>
</comments>
</file>

<file path=xl/sharedStrings.xml><?xml version="1.0" encoding="utf-8"?>
<sst xmlns="http://schemas.openxmlformats.org/spreadsheetml/2006/main" count="527" uniqueCount="109">
  <si>
    <t>The West</t>
  </si>
  <si>
    <t>The South</t>
  </si>
  <si>
    <t>The North-East</t>
  </si>
  <si>
    <t>The Mid-West</t>
  </si>
  <si>
    <t>State</t>
  </si>
  <si>
    <t>Region</t>
  </si>
  <si>
    <t>Pop 1 Jul 12</t>
  </si>
  <si>
    <t>Pop April 1, 2010</t>
  </si>
  <si>
    <t>Pop April 1, 2000</t>
  </si>
  <si>
    <t>% of US</t>
  </si>
  <si>
    <t>Population Density</t>
  </si>
  <si>
    <t>Tax Revenue</t>
  </si>
  <si>
    <t>Expenses</t>
  </si>
  <si>
    <t>Unemployment</t>
  </si>
  <si>
    <t>Pop Rank</t>
  </si>
  <si>
    <t>Density Rank</t>
  </si>
  <si>
    <t>Rev Rank</t>
  </si>
  <si>
    <t>Exp Rank</t>
  </si>
  <si>
    <t>Unemployment Rank</t>
  </si>
  <si>
    <t>California</t>
  </si>
  <si>
    <t>Texas</t>
  </si>
  <si>
    <t>New York</t>
  </si>
  <si>
    <t>Florida</t>
  </si>
  <si>
    <t>Illinois</t>
  </si>
  <si>
    <t>Pennsylvania</t>
  </si>
  <si>
    <t>Ohio</t>
  </si>
  <si>
    <t>Georgia</t>
  </si>
  <si>
    <t>Michigan</t>
  </si>
  <si>
    <t>North Carolina</t>
  </si>
  <si>
    <t>New Jersey</t>
  </si>
  <si>
    <t>Virginia</t>
  </si>
  <si>
    <t>Washington</t>
  </si>
  <si>
    <t>Massachusetts</t>
  </si>
  <si>
    <t>Arizona</t>
  </si>
  <si>
    <t>Indiana</t>
  </si>
  <si>
    <t>Tennessee</t>
  </si>
  <si>
    <t>Missouri</t>
  </si>
  <si>
    <t>Maryland</t>
  </si>
  <si>
    <t>Wisconsin</t>
  </si>
  <si>
    <t>Minnesota</t>
  </si>
  <si>
    <t>Colorado</t>
  </si>
  <si>
    <t>Alabama</t>
  </si>
  <si>
    <t>South Carolina</t>
  </si>
  <si>
    <t>Louisiana</t>
  </si>
  <si>
    <t>Kentucky</t>
  </si>
  <si>
    <t>Oregon</t>
  </si>
  <si>
    <t>Oklahoma</t>
  </si>
  <si>
    <t>Connecticut</t>
  </si>
  <si>
    <t>Iowa</t>
  </si>
  <si>
    <t>Mississippi</t>
  </si>
  <si>
    <t>Arkansas</t>
  </si>
  <si>
    <t>Kansas</t>
  </si>
  <si>
    <t>Utah</t>
  </si>
  <si>
    <t>Nevada</t>
  </si>
  <si>
    <t>New Mexico</t>
  </si>
  <si>
    <t>Nebraska</t>
  </si>
  <si>
    <t>West Virginia</t>
  </si>
  <si>
    <t>Idaho</t>
  </si>
  <si>
    <t>Hawaii</t>
  </si>
  <si>
    <t>Maine</t>
  </si>
  <si>
    <t>New Hampshire</t>
  </si>
  <si>
    <t>Rhode Island</t>
  </si>
  <si>
    <t>Montana</t>
  </si>
  <si>
    <t>Delaware</t>
  </si>
  <si>
    <t>South Dakota</t>
  </si>
  <si>
    <t>Alaska</t>
  </si>
  <si>
    <t>North Dakota</t>
  </si>
  <si>
    <t>Vermont</t>
  </si>
  <si>
    <t>Wyoming</t>
  </si>
  <si>
    <t>Population 12</t>
  </si>
  <si>
    <t>Top 10</t>
  </si>
  <si>
    <t>Population</t>
  </si>
  <si>
    <t>Revenue</t>
  </si>
  <si>
    <t>WestVirginia</t>
  </si>
  <si>
    <t>SouthDakota</t>
  </si>
  <si>
    <t>SouthCarolina</t>
  </si>
  <si>
    <t>RhodeIsland</t>
  </si>
  <si>
    <t>NorthDakota</t>
  </si>
  <si>
    <t>NorthCarolina</t>
  </si>
  <si>
    <t>NewYork</t>
  </si>
  <si>
    <t>NewMexico</t>
  </si>
  <si>
    <t>NewJersey</t>
  </si>
  <si>
    <t>NewHampshire</t>
  </si>
  <si>
    <t>FullName</t>
  </si>
  <si>
    <t>No</t>
  </si>
  <si>
    <t>Pop Rank Reg</t>
  </si>
  <si>
    <t>Unemployment Rank Reg</t>
  </si>
  <si>
    <t>All Regions</t>
  </si>
  <si>
    <t>Population 2012</t>
  </si>
  <si>
    <t>Population 2010</t>
  </si>
  <si>
    <t>Density Rank Reg</t>
  </si>
  <si>
    <t>Pop Density</t>
  </si>
  <si>
    <t>NameRng</t>
  </si>
  <si>
    <t>Index</t>
  </si>
  <si>
    <t>Sheets</t>
  </si>
  <si>
    <t>Sheet Type</t>
  </si>
  <si>
    <t>Description</t>
  </si>
  <si>
    <t>Links</t>
  </si>
  <si>
    <t>Model</t>
  </si>
  <si>
    <t>Assumptions</t>
  </si>
  <si>
    <t>Description of Sheets</t>
  </si>
  <si>
    <t>List</t>
  </si>
  <si>
    <t>Lists and model assumptions</t>
  </si>
  <si>
    <t>Input Sheet</t>
  </si>
  <si>
    <t>Calcs</t>
  </si>
  <si>
    <t>Calculations sheet</t>
  </si>
  <si>
    <t>Primary calculations page</t>
  </si>
  <si>
    <t>Data</t>
  </si>
  <si>
    <t>Primary Inputs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</si>
</sst>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_-&quot;$&quot;* #,##0_-;\-&quot;$&quot;* #,##0_-;_-&quot;$&quot;* &quot;-&quot;??_-;_-@_-"/>
    <numFmt numFmtId="166" formatCode="0.0%"/>
    <numFmt numFmtId="167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u/>
      <sz val="11"/>
      <color theme="10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9">
    <xf numFmtId="0" fontId="0" fillId="0" borderId="0" xfId="0"/>
    <xf numFmtId="165" fontId="0" fillId="0" borderId="0" xfId="2" applyNumberFormat="1" applyFont="1"/>
    <xf numFmtId="10" fontId="0" fillId="0" borderId="0" xfId="0" applyNumberFormat="1"/>
    <xf numFmtId="3" fontId="0" fillId="0" borderId="0" xfId="0" applyNumberFormat="1"/>
    <xf numFmtId="43" fontId="1" fillId="0" borderId="0" xfId="1" applyFont="1"/>
    <xf numFmtId="165" fontId="1" fillId="0" borderId="0" xfId="2" applyNumberFormat="1" applyFont="1"/>
    <xf numFmtId="166" fontId="0" fillId="0" borderId="0" xfId="3" applyNumberFormat="1" applyFont="1"/>
    <xf numFmtId="43" fontId="0" fillId="0" borderId="0" xfId="1" applyFont="1"/>
    <xf numFmtId="10" fontId="0" fillId="0" borderId="0" xfId="3" applyNumberFormat="1" applyFont="1"/>
    <xf numFmtId="0" fontId="2" fillId="0" borderId="0" xfId="0" applyFont="1"/>
    <xf numFmtId="167" fontId="0" fillId="0" borderId="0" xfId="1" applyNumberFormat="1" applyFont="1"/>
    <xf numFmtId="0" fontId="0" fillId="2" borderId="0" xfId="0" applyFill="1"/>
    <xf numFmtId="0" fontId="0" fillId="3" borderId="0" xfId="0" applyFill="1"/>
    <xf numFmtId="0" fontId="0" fillId="0" borderId="0" xfId="0" applyFill="1"/>
    <xf numFmtId="0" fontId="6" fillId="4" borderId="0" xfId="0" applyFont="1" applyFill="1" applyAlignment="1">
      <alignment wrapText="1"/>
    </xf>
    <xf numFmtId="0" fontId="0" fillId="0" borderId="0" xfId="0" quotePrefix="1"/>
    <xf numFmtId="167" fontId="0" fillId="3" borderId="0" xfId="1" applyNumberFormat="1" applyFont="1" applyFill="1"/>
    <xf numFmtId="10" fontId="0" fillId="3" borderId="0" xfId="3" applyNumberFormat="1" applyFont="1" applyFill="1"/>
    <xf numFmtId="0" fontId="5" fillId="4" borderId="0" xfId="0" applyFont="1" applyFill="1"/>
    <xf numFmtId="0" fontId="6" fillId="4" borderId="0" xfId="0" applyFont="1" applyFill="1"/>
    <xf numFmtId="165" fontId="6" fillId="4" borderId="0" xfId="2" applyNumberFormat="1" applyFont="1" applyFill="1" applyAlignment="1">
      <alignment wrapText="1"/>
    </xf>
    <xf numFmtId="0" fontId="6" fillId="5" borderId="0" xfId="0" applyFont="1" applyFill="1"/>
    <xf numFmtId="0" fontId="7" fillId="0" borderId="0" xfId="0" applyFont="1"/>
    <xf numFmtId="0" fontId="8" fillId="0" borderId="0" xfId="4"/>
    <xf numFmtId="0" fontId="6" fillId="6" borderId="0" xfId="0" applyFont="1" applyFill="1"/>
    <xf numFmtId="43" fontId="0" fillId="0" borderId="0" xfId="1" applyFont="1" applyFill="1"/>
    <xf numFmtId="0" fontId="6" fillId="0" borderId="0" xfId="0" applyFont="1" applyFill="1"/>
    <xf numFmtId="0" fontId="7" fillId="0" borderId="0" xfId="0" applyFont="1" applyFill="1"/>
    <xf numFmtId="0" fontId="8" fillId="0" borderId="0" xfId="4" applyFill="1"/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F793A1"/>
      <color rgb="FFFABEC7"/>
      <color rgb="FFFDE3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51" Type="http://schemas.openxmlformats.org/officeDocument/2006/relationships/image" Target="../media/image51.JP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1</xdr:row>
      <xdr:rowOff>9525</xdr:rowOff>
    </xdr:from>
    <xdr:ext cx="504825" cy="371475"/>
    <xdr:pic>
      <xdr:nvPicPr>
        <xdr:cNvPr id="53" name="Picture 52" descr="Flag of Alabama(February 16, 1895)[3]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200025"/>
          <a:ext cx="5048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28575</xdr:colOff>
      <xdr:row>2</xdr:row>
      <xdr:rowOff>9526</xdr:rowOff>
    </xdr:from>
    <xdr:ext cx="504000" cy="354667"/>
    <xdr:pic>
      <xdr:nvPicPr>
        <xdr:cNvPr id="54" name="Picture 53" descr="Flag of Alaska(July 6, 1927)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581026"/>
          <a:ext cx="504000" cy="354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19049</xdr:colOff>
      <xdr:row>3</xdr:row>
      <xdr:rowOff>9525</xdr:rowOff>
    </xdr:from>
    <xdr:ext cx="504000" cy="348218"/>
    <xdr:pic>
      <xdr:nvPicPr>
        <xdr:cNvPr id="55" name="Picture 54" descr="Flag of Arizona(January 25, 1917)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49" y="962025"/>
          <a:ext cx="504000" cy="3482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19050</xdr:colOff>
      <xdr:row>4</xdr:row>
      <xdr:rowOff>9525</xdr:rowOff>
    </xdr:from>
    <xdr:ext cx="504000" cy="339055"/>
    <xdr:pic>
      <xdr:nvPicPr>
        <xdr:cNvPr id="56" name="Picture 55" descr="Flag of Arkansas(March 16, 1924)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343025"/>
          <a:ext cx="504000" cy="3390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28574</xdr:colOff>
      <xdr:row>5</xdr:row>
      <xdr:rowOff>0</xdr:rowOff>
    </xdr:from>
    <xdr:ext cx="517168" cy="370800"/>
    <xdr:pic>
      <xdr:nvPicPr>
        <xdr:cNvPr id="57" name="Picture 89" descr="Flag of California(February 3, 1911)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4" y="1714500"/>
          <a:ext cx="517168" cy="370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19050</xdr:colOff>
      <xdr:row>6</xdr:row>
      <xdr:rowOff>0</xdr:rowOff>
    </xdr:from>
    <xdr:ext cx="504000" cy="360000"/>
    <xdr:pic>
      <xdr:nvPicPr>
        <xdr:cNvPr id="58" name="Picture 90" descr="Flag of Colorado(December 4, 1911)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2095500"/>
          <a:ext cx="504000" cy="36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19050</xdr:colOff>
      <xdr:row>7</xdr:row>
      <xdr:rowOff>19050</xdr:rowOff>
    </xdr:from>
    <xdr:ext cx="504000" cy="348218"/>
    <xdr:pic>
      <xdr:nvPicPr>
        <xdr:cNvPr id="59" name="Picture 91" descr="Flag of Connecticut (September 9, 1897)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2495550"/>
          <a:ext cx="504000" cy="3482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19050</xdr:colOff>
      <xdr:row>8</xdr:row>
      <xdr:rowOff>9525</xdr:rowOff>
    </xdr:from>
    <xdr:ext cx="504000" cy="348218"/>
    <xdr:pic>
      <xdr:nvPicPr>
        <xdr:cNvPr id="60" name="Picture 92" descr="Flag of Delaware (May 10, 1913)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2867025"/>
          <a:ext cx="504000" cy="3482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38099</xdr:colOff>
      <xdr:row>9</xdr:row>
      <xdr:rowOff>1</xdr:rowOff>
    </xdr:from>
    <xdr:ext cx="504000" cy="380999"/>
    <xdr:pic>
      <xdr:nvPicPr>
        <xdr:cNvPr id="61" name="Picture 93" descr="Flag of Florida (September 24, 1900)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999" y="3238501"/>
          <a:ext cx="504000" cy="3809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9522</xdr:colOff>
      <xdr:row>10</xdr:row>
      <xdr:rowOff>28576</xdr:rowOff>
    </xdr:from>
    <xdr:ext cx="523877" cy="348218"/>
    <xdr:pic>
      <xdr:nvPicPr>
        <xdr:cNvPr id="62" name="Picture 94" descr="Flag of Georgia (February 19, 2003)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2" y="3562351"/>
          <a:ext cx="523877" cy="3482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12</xdr:row>
      <xdr:rowOff>38100</xdr:rowOff>
    </xdr:from>
    <xdr:ext cx="523875" cy="352425"/>
    <xdr:pic>
      <xdr:nvPicPr>
        <xdr:cNvPr id="63" name="Picture 95" descr="Flag of Idaho (November 2, 1957)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4419600"/>
          <a:ext cx="52387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13</xdr:row>
      <xdr:rowOff>47625</xdr:rowOff>
    </xdr:from>
    <xdr:ext cx="523875" cy="352425"/>
    <xdr:pic>
      <xdr:nvPicPr>
        <xdr:cNvPr id="64" name="Picture 96" descr="Flag of Illinois (June 27, 1969)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4810125"/>
          <a:ext cx="52387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14</xdr:row>
      <xdr:rowOff>19050</xdr:rowOff>
    </xdr:from>
    <xdr:ext cx="533400" cy="361950"/>
    <xdr:pic>
      <xdr:nvPicPr>
        <xdr:cNvPr id="65" name="Picture 97" descr="Flag of Indiana (October 21, 1917)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5162550"/>
          <a:ext cx="533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15</xdr:row>
      <xdr:rowOff>19050</xdr:rowOff>
    </xdr:from>
    <xdr:ext cx="533400" cy="352425"/>
    <xdr:pic>
      <xdr:nvPicPr>
        <xdr:cNvPr id="66" name="Picture 98" descr="Flag of Iowa (March 12, 1921)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5543550"/>
          <a:ext cx="53340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16</xdr:row>
      <xdr:rowOff>9525</xdr:rowOff>
    </xdr:from>
    <xdr:ext cx="523875" cy="352425"/>
    <xdr:pic>
      <xdr:nvPicPr>
        <xdr:cNvPr id="67" name="Picture 99" descr="Flag of Kansas (September 22, 1961)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5915025"/>
          <a:ext cx="52387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16</xdr:row>
      <xdr:rowOff>1095375</xdr:rowOff>
    </xdr:from>
    <xdr:ext cx="523875" cy="371475"/>
    <xdr:pic>
      <xdr:nvPicPr>
        <xdr:cNvPr id="68" name="Picture 100" descr="Flag of Kentucky (March 26, 1918)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6286500"/>
          <a:ext cx="5238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18</xdr:row>
      <xdr:rowOff>9525</xdr:rowOff>
    </xdr:from>
    <xdr:ext cx="523875" cy="361950"/>
    <xdr:pic>
      <xdr:nvPicPr>
        <xdr:cNvPr id="69" name="Picture 101" descr="Flag of Louisiana (May 7, 2006)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6677025"/>
          <a:ext cx="52387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18</xdr:row>
      <xdr:rowOff>1104900</xdr:rowOff>
    </xdr:from>
    <xdr:ext cx="533400" cy="361950"/>
    <xdr:pic>
      <xdr:nvPicPr>
        <xdr:cNvPr id="70" name="Picture 102" descr="Flag of Maine (June 16, 1909)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7048500"/>
          <a:ext cx="533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19050</xdr:colOff>
      <xdr:row>20</xdr:row>
      <xdr:rowOff>9525</xdr:rowOff>
    </xdr:from>
    <xdr:ext cx="514350" cy="371475"/>
    <xdr:pic>
      <xdr:nvPicPr>
        <xdr:cNvPr id="71" name="Picture 103" descr="Flag of Maryland (November 25, 1904)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7439025"/>
          <a:ext cx="51435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28575</xdr:colOff>
      <xdr:row>21</xdr:row>
      <xdr:rowOff>19050</xdr:rowOff>
    </xdr:from>
    <xdr:ext cx="523875" cy="361950"/>
    <xdr:pic>
      <xdr:nvPicPr>
        <xdr:cNvPr id="72" name="Picture 104" descr="Flag of Massachusetts (March 21, 1971)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7829550"/>
          <a:ext cx="52387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28575</xdr:colOff>
      <xdr:row>22</xdr:row>
      <xdr:rowOff>19050</xdr:rowOff>
    </xdr:from>
    <xdr:ext cx="514350" cy="352425"/>
    <xdr:pic>
      <xdr:nvPicPr>
        <xdr:cNvPr id="73" name="Picture 105" descr="Flag of Michigan (June 26, 1911)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8210550"/>
          <a:ext cx="51435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23</xdr:row>
      <xdr:rowOff>9525</xdr:rowOff>
    </xdr:from>
    <xdr:ext cx="533400" cy="361950"/>
    <xdr:pic>
      <xdr:nvPicPr>
        <xdr:cNvPr id="74" name="Picture 110" descr="Flag of Minnesota (August 2, 1983)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8582025"/>
          <a:ext cx="533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23</xdr:row>
      <xdr:rowOff>1095375</xdr:rowOff>
    </xdr:from>
    <xdr:ext cx="533400" cy="371475"/>
    <xdr:pic>
      <xdr:nvPicPr>
        <xdr:cNvPr id="75" name="Picture 111" descr="Flag of Mississippi (April 23, 1894)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8953500"/>
          <a:ext cx="53340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25</xdr:row>
      <xdr:rowOff>19050</xdr:rowOff>
    </xdr:from>
    <xdr:ext cx="523875" cy="361950"/>
    <xdr:pic>
      <xdr:nvPicPr>
        <xdr:cNvPr id="76" name="Picture 112" descr="Flag of Missouri (September 4, 1913)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9353550"/>
          <a:ext cx="52387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26</xdr:row>
      <xdr:rowOff>9525</xdr:rowOff>
    </xdr:from>
    <xdr:ext cx="514350" cy="361950"/>
    <xdr:pic>
      <xdr:nvPicPr>
        <xdr:cNvPr id="77" name="Picture 113" descr="Flag of Montana (December 17, 1981)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9486900"/>
          <a:ext cx="5143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27</xdr:row>
      <xdr:rowOff>0</xdr:rowOff>
    </xdr:from>
    <xdr:ext cx="514350" cy="390525"/>
    <xdr:pic>
      <xdr:nvPicPr>
        <xdr:cNvPr id="78" name="Picture 114" descr="Flag of Nebraska (July 16, 1963)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9848850"/>
          <a:ext cx="51435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19050</xdr:colOff>
      <xdr:row>28</xdr:row>
      <xdr:rowOff>9525</xdr:rowOff>
    </xdr:from>
    <xdr:ext cx="514350" cy="371475"/>
    <xdr:pic>
      <xdr:nvPicPr>
        <xdr:cNvPr id="79" name="Picture 115" descr="Flag of Nevada (July 25, 1991)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0229850"/>
          <a:ext cx="51435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19050</xdr:colOff>
      <xdr:row>11</xdr:row>
      <xdr:rowOff>47625</xdr:rowOff>
    </xdr:from>
    <xdr:ext cx="504825" cy="336000"/>
    <xdr:pic>
      <xdr:nvPicPr>
        <xdr:cNvPr id="80" name="Picture 116" descr="Flag of Hawaii (December 29, 1845)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4048125"/>
          <a:ext cx="504825" cy="336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29</xdr:row>
      <xdr:rowOff>19050</xdr:rowOff>
    </xdr:from>
    <xdr:ext cx="533400" cy="361950"/>
    <xdr:pic>
      <xdr:nvPicPr>
        <xdr:cNvPr id="81" name="Picture 117" descr="Flag of New Hampshire (November 30, 1931)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10610850"/>
          <a:ext cx="533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30</xdr:row>
      <xdr:rowOff>19050</xdr:rowOff>
    </xdr:from>
    <xdr:ext cx="523875" cy="361950"/>
    <xdr:pic>
      <xdr:nvPicPr>
        <xdr:cNvPr id="82" name="Picture 118" descr="Flag of New Jersey (January 15, 1896)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10982325"/>
          <a:ext cx="52387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31</xdr:row>
      <xdr:rowOff>19050</xdr:rowOff>
    </xdr:from>
    <xdr:ext cx="504825" cy="361950"/>
    <xdr:pic>
      <xdr:nvPicPr>
        <xdr:cNvPr id="83" name="Picture 119" descr="Flag of New Mexico (September 18, 1920)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11353800"/>
          <a:ext cx="5048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32</xdr:row>
      <xdr:rowOff>28575</xdr:rowOff>
    </xdr:from>
    <xdr:ext cx="523875" cy="352425"/>
    <xdr:pic>
      <xdr:nvPicPr>
        <xdr:cNvPr id="84" name="Picture 120" descr="Flag of New York (April 1, 1901)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11734800"/>
          <a:ext cx="52387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19050</xdr:colOff>
      <xdr:row>33</xdr:row>
      <xdr:rowOff>28575</xdr:rowOff>
    </xdr:from>
    <xdr:ext cx="523875" cy="352425"/>
    <xdr:pic>
      <xdr:nvPicPr>
        <xdr:cNvPr id="85" name="Picture 121" descr="Flag of North Carolina (March 2, 1885)[4]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411075"/>
          <a:ext cx="52387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34</xdr:row>
      <xdr:rowOff>9525</xdr:rowOff>
    </xdr:from>
    <xdr:ext cx="533400" cy="371475"/>
    <xdr:pic>
      <xdr:nvPicPr>
        <xdr:cNvPr id="86" name="Picture 122" descr="Flag of North Dakota (November 9, 1943)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2773025"/>
          <a:ext cx="53340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38100</xdr:colOff>
      <xdr:row>34</xdr:row>
      <xdr:rowOff>381000</xdr:rowOff>
    </xdr:from>
    <xdr:ext cx="504825" cy="381000"/>
    <xdr:pic>
      <xdr:nvPicPr>
        <xdr:cNvPr id="87" name="Picture 123" descr="Flag of Ohio (July 10, 1902)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3144500"/>
          <a:ext cx="5048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36</xdr:row>
      <xdr:rowOff>19050</xdr:rowOff>
    </xdr:from>
    <xdr:ext cx="523875" cy="371475"/>
    <xdr:pic>
      <xdr:nvPicPr>
        <xdr:cNvPr id="88" name="Picture 124" descr="Flag of Oklahoma (April 21, 1925, standardized April 21, 2006)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13544550"/>
          <a:ext cx="5238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37</xdr:row>
      <xdr:rowOff>28575</xdr:rowOff>
    </xdr:from>
    <xdr:ext cx="533400" cy="352425"/>
    <xdr:pic>
      <xdr:nvPicPr>
        <xdr:cNvPr id="89" name="Picture 125" descr="Flag of Oregon (obverse)(April 15, 1925)[5]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3935075"/>
          <a:ext cx="53340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38</xdr:row>
      <xdr:rowOff>0</xdr:rowOff>
    </xdr:from>
    <xdr:ext cx="533400" cy="361950"/>
    <xdr:pic>
      <xdr:nvPicPr>
        <xdr:cNvPr id="90" name="Picture 127" descr="Flag of Pennsylvania(April 24, 1907)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4287500"/>
          <a:ext cx="533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19050</xdr:colOff>
      <xdr:row>38</xdr:row>
      <xdr:rowOff>1095375</xdr:rowOff>
    </xdr:from>
    <xdr:ext cx="514350" cy="371475"/>
    <xdr:pic>
      <xdr:nvPicPr>
        <xdr:cNvPr id="91" name="Picture 128" descr="Flag of Rhode Island(July 27, 1640, formally November 1, 1897)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4668500"/>
          <a:ext cx="51435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40</xdr:row>
      <xdr:rowOff>9525</xdr:rowOff>
    </xdr:from>
    <xdr:ext cx="523875" cy="371475"/>
    <xdr:pic>
      <xdr:nvPicPr>
        <xdr:cNvPr id="92" name="Picture 129" descr="Flag of South Carolina (September 28, 1861)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5059025"/>
          <a:ext cx="5238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19050</xdr:colOff>
      <xdr:row>41</xdr:row>
      <xdr:rowOff>19050</xdr:rowOff>
    </xdr:from>
    <xdr:ext cx="514350" cy="361950"/>
    <xdr:pic>
      <xdr:nvPicPr>
        <xdr:cNvPr id="93" name="Picture 130" descr="Flag of South Dakota (November 9, 1992)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5068550"/>
          <a:ext cx="5143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19050</xdr:colOff>
      <xdr:row>42</xdr:row>
      <xdr:rowOff>9525</xdr:rowOff>
    </xdr:from>
    <xdr:ext cx="523875" cy="371475"/>
    <xdr:pic>
      <xdr:nvPicPr>
        <xdr:cNvPr id="94" name="Picture 131" descr="Flag of Tennessee (February 3, 1905)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15430500"/>
          <a:ext cx="5238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28575</xdr:colOff>
      <xdr:row>43</xdr:row>
      <xdr:rowOff>28575</xdr:rowOff>
    </xdr:from>
    <xdr:ext cx="495300" cy="352425"/>
    <xdr:pic>
      <xdr:nvPicPr>
        <xdr:cNvPr id="95" name="Picture 132" descr="Flag of Texas (June 30, 1839)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16221075"/>
          <a:ext cx="49530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44</xdr:row>
      <xdr:rowOff>9525</xdr:rowOff>
    </xdr:from>
    <xdr:ext cx="523875" cy="361950"/>
    <xdr:pic>
      <xdr:nvPicPr>
        <xdr:cNvPr id="96" name="Picture 136" descr="Flag of Utah (December 21, 1913)[6]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6583025"/>
          <a:ext cx="52387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44</xdr:row>
      <xdr:rowOff>371474</xdr:rowOff>
    </xdr:from>
    <xdr:ext cx="523875" cy="390525"/>
    <xdr:pic>
      <xdr:nvPicPr>
        <xdr:cNvPr id="97" name="Picture 137" descr="Flag of Vermont (April 17, 1923)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16535399"/>
          <a:ext cx="52387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47</xdr:row>
      <xdr:rowOff>38100</xdr:rowOff>
    </xdr:from>
    <xdr:ext cx="523875" cy="371475"/>
    <xdr:pic>
      <xdr:nvPicPr>
        <xdr:cNvPr id="98" name="Picture 138" descr="Flag of Washington[7] (August 25, 1923)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7754600"/>
          <a:ext cx="5238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46</xdr:row>
      <xdr:rowOff>9525</xdr:rowOff>
    </xdr:from>
    <xdr:ext cx="523875" cy="371475"/>
    <xdr:pic>
      <xdr:nvPicPr>
        <xdr:cNvPr id="99" name="Picture 139" descr="Flag of Virginia (January 31, 1861)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16916400"/>
          <a:ext cx="5238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48</xdr:row>
      <xdr:rowOff>38100</xdr:rowOff>
    </xdr:from>
    <xdr:ext cx="533400" cy="352425"/>
    <xdr:pic>
      <xdr:nvPicPr>
        <xdr:cNvPr id="100" name="Picture 140" descr="Flag of West Virginia (November 6, 1929)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18135600"/>
          <a:ext cx="53340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49</xdr:row>
      <xdr:rowOff>28576</xdr:rowOff>
    </xdr:from>
    <xdr:ext cx="533400" cy="361950"/>
    <xdr:pic>
      <xdr:nvPicPr>
        <xdr:cNvPr id="101" name="Picture 141" descr="Flag of Wisconsin (September 17, 1979)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18049876"/>
          <a:ext cx="533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19050</xdr:colOff>
      <xdr:row>50</xdr:row>
      <xdr:rowOff>19050</xdr:rowOff>
    </xdr:from>
    <xdr:ext cx="523875" cy="361950"/>
    <xdr:pic>
      <xdr:nvPicPr>
        <xdr:cNvPr id="102" name="Picture 142" descr="Flag of Wyoming (March 4, 1917)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18411825"/>
          <a:ext cx="52387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28576</xdr:colOff>
      <xdr:row>1</xdr:row>
      <xdr:rowOff>38100</xdr:rowOff>
    </xdr:from>
    <xdr:ext cx="4362450" cy="2952199"/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0451" y="228600"/>
          <a:ext cx="4362450" cy="29521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9C4E7-B457-4E76-BF87-341559C7A60E}">
  <sheetPr>
    <tabColor theme="7" tint="0.59999389629810485"/>
  </sheetPr>
  <dimension ref="B1:E7"/>
  <sheetViews>
    <sheetView showGridLines="0" showRowColHeaders="0" workbookViewId="0">
      <selection activeCell="D18" sqref="D18"/>
    </sheetView>
  </sheetViews>
  <sheetFormatPr defaultRowHeight="14.5" x14ac:dyDescent="0.35"/>
  <cols>
    <col min="3" max="3" width="17.453125" bestFit="1" customWidth="1"/>
    <col min="4" max="4" width="32.26953125" bestFit="1" customWidth="1"/>
  </cols>
  <sheetData>
    <row r="1" spans="2:5" x14ac:dyDescent="0.35">
      <c r="B1" s="19" t="s">
        <v>94</v>
      </c>
      <c r="C1" s="19" t="s">
        <v>95</v>
      </c>
      <c r="D1" s="19" t="s">
        <v>96</v>
      </c>
      <c r="E1" s="19" t="s">
        <v>97</v>
      </c>
    </row>
    <row r="2" spans="2:5" x14ac:dyDescent="0.35">
      <c r="B2" s="21" t="s">
        <v>98</v>
      </c>
      <c r="C2" s="22" t="s">
        <v>99</v>
      </c>
      <c r="D2" s="22" t="s">
        <v>100</v>
      </c>
      <c r="E2" s="23" t="str">
        <f>HYPERLINK("#"&amp;B2&amp;"!A2",B2)</f>
        <v>Model</v>
      </c>
    </row>
    <row r="3" spans="2:5" x14ac:dyDescent="0.35">
      <c r="B3" s="21" t="s">
        <v>101</v>
      </c>
      <c r="C3" s="22" t="s">
        <v>99</v>
      </c>
      <c r="D3" s="22" t="s">
        <v>102</v>
      </c>
      <c r="E3" s="23" t="str">
        <f t="shared" ref="E3:E5" si="0">HYPERLINK("#"&amp;B3&amp;"!A2",B3)</f>
        <v>List</v>
      </c>
    </row>
    <row r="4" spans="2:5" x14ac:dyDescent="0.35">
      <c r="B4" s="19" t="s">
        <v>107</v>
      </c>
      <c r="C4" s="22" t="s">
        <v>103</v>
      </c>
      <c r="D4" s="22" t="s">
        <v>108</v>
      </c>
      <c r="E4" s="23" t="str">
        <f t="shared" si="0"/>
        <v>Data</v>
      </c>
    </row>
    <row r="5" spans="2:5" x14ac:dyDescent="0.35">
      <c r="B5" s="24" t="s">
        <v>104</v>
      </c>
      <c r="C5" s="22" t="s">
        <v>105</v>
      </c>
      <c r="D5" s="22" t="s">
        <v>106</v>
      </c>
      <c r="E5" s="23" t="str">
        <f t="shared" si="0"/>
        <v>Calcs</v>
      </c>
    </row>
    <row r="6" spans="2:5" x14ac:dyDescent="0.35">
      <c r="B6" s="26"/>
      <c r="C6" s="27"/>
      <c r="D6" s="27"/>
      <c r="E6" s="28"/>
    </row>
    <row r="7" spans="2:5" x14ac:dyDescent="0.35">
      <c r="B7" s="26"/>
      <c r="C7" s="27"/>
      <c r="D7" s="27"/>
      <c r="E7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7" tint="0.59999389629810485"/>
  </sheetPr>
  <dimension ref="A1:E55"/>
  <sheetViews>
    <sheetView workbookViewId="0">
      <pane ySplit="1" topLeftCell="A33" activePane="bottomLeft" state="frozen"/>
      <selection pane="bottomLeft" activeCell="J50" sqref="J50"/>
    </sheetView>
  </sheetViews>
  <sheetFormatPr defaultRowHeight="14.5" x14ac:dyDescent="0.35"/>
  <cols>
    <col min="1" max="1" width="7" style="11" customWidth="1"/>
    <col min="2" max="2" width="7.81640625" style="11" customWidth="1"/>
    <col min="3" max="3" width="12" customWidth="1"/>
    <col min="4" max="4" width="15.26953125" style="13" bestFit="1" customWidth="1"/>
    <col min="5" max="5" width="14.26953125" bestFit="1" customWidth="1"/>
  </cols>
  <sheetData>
    <row r="1" spans="1:5" x14ac:dyDescent="0.35">
      <c r="A1" s="11" t="s">
        <v>84</v>
      </c>
      <c r="B1" s="11" t="s">
        <v>4</v>
      </c>
      <c r="C1" t="s">
        <v>92</v>
      </c>
      <c r="D1" s="13" t="s">
        <v>83</v>
      </c>
      <c r="E1" t="s">
        <v>5</v>
      </c>
    </row>
    <row r="2" spans="1:5" ht="29.25" customHeight="1" x14ac:dyDescent="0.35">
      <c r="A2" s="11">
        <v>1</v>
      </c>
      <c r="C2" t="s">
        <v>41</v>
      </c>
      <c r="D2" s="13" t="s">
        <v>41</v>
      </c>
      <c r="E2" t="s">
        <v>1</v>
      </c>
    </row>
    <row r="3" spans="1:5" ht="29.25" customHeight="1" x14ac:dyDescent="0.35">
      <c r="A3" s="11">
        <v>2</v>
      </c>
      <c r="C3" t="s">
        <v>65</v>
      </c>
      <c r="D3" s="13" t="s">
        <v>65</v>
      </c>
      <c r="E3" t="s">
        <v>0</v>
      </c>
    </row>
    <row r="4" spans="1:5" ht="29.25" customHeight="1" x14ac:dyDescent="0.35">
      <c r="A4" s="11">
        <v>3</v>
      </c>
      <c r="C4" t="s">
        <v>33</v>
      </c>
      <c r="D4" s="13" t="s">
        <v>33</v>
      </c>
      <c r="E4" t="s">
        <v>0</v>
      </c>
    </row>
    <row r="5" spans="1:5" ht="29.25" customHeight="1" x14ac:dyDescent="0.35">
      <c r="A5" s="11">
        <v>4</v>
      </c>
      <c r="C5" t="s">
        <v>50</v>
      </c>
      <c r="D5" s="13" t="s">
        <v>50</v>
      </c>
      <c r="E5" t="s">
        <v>1</v>
      </c>
    </row>
    <row r="6" spans="1:5" ht="29.25" customHeight="1" x14ac:dyDescent="0.35">
      <c r="A6" s="11">
        <v>5</v>
      </c>
      <c r="C6" t="s">
        <v>19</v>
      </c>
      <c r="D6" s="13" t="s">
        <v>19</v>
      </c>
      <c r="E6" t="s">
        <v>0</v>
      </c>
    </row>
    <row r="7" spans="1:5" ht="29.25" customHeight="1" x14ac:dyDescent="0.35">
      <c r="A7" s="11">
        <v>6</v>
      </c>
      <c r="C7" t="s">
        <v>40</v>
      </c>
      <c r="D7" s="13" t="s">
        <v>40</v>
      </c>
      <c r="E7" t="s">
        <v>0</v>
      </c>
    </row>
    <row r="8" spans="1:5" ht="29.25" customHeight="1" x14ac:dyDescent="0.35">
      <c r="A8" s="11">
        <v>7</v>
      </c>
      <c r="C8" t="s">
        <v>47</v>
      </c>
      <c r="D8" s="13" t="s">
        <v>47</v>
      </c>
      <c r="E8" t="s">
        <v>2</v>
      </c>
    </row>
    <row r="9" spans="1:5" ht="29.25" customHeight="1" x14ac:dyDescent="0.35">
      <c r="A9" s="11">
        <v>8</v>
      </c>
      <c r="C9" t="s">
        <v>63</v>
      </c>
      <c r="D9" s="13" t="s">
        <v>63</v>
      </c>
      <c r="E9" t="s">
        <v>2</v>
      </c>
    </row>
    <row r="10" spans="1:5" ht="29.25" customHeight="1" x14ac:dyDescent="0.35">
      <c r="A10" s="11">
        <v>9</v>
      </c>
      <c r="C10" t="s">
        <v>22</v>
      </c>
      <c r="D10" s="13" t="s">
        <v>22</v>
      </c>
      <c r="E10" t="s">
        <v>1</v>
      </c>
    </row>
    <row r="11" spans="1:5" ht="29.25" customHeight="1" x14ac:dyDescent="0.35">
      <c r="A11" s="11">
        <v>10</v>
      </c>
      <c r="C11" t="s">
        <v>26</v>
      </c>
      <c r="D11" s="13" t="s">
        <v>26</v>
      </c>
      <c r="E11" t="s">
        <v>1</v>
      </c>
    </row>
    <row r="12" spans="1:5" ht="29.25" customHeight="1" x14ac:dyDescent="0.35">
      <c r="A12" s="11">
        <v>11</v>
      </c>
      <c r="C12" t="s">
        <v>58</v>
      </c>
      <c r="D12" s="13" t="s">
        <v>58</v>
      </c>
      <c r="E12" t="s">
        <v>0</v>
      </c>
    </row>
    <row r="13" spans="1:5" ht="29.25" customHeight="1" x14ac:dyDescent="0.35">
      <c r="A13" s="11">
        <v>12</v>
      </c>
      <c r="C13" t="s">
        <v>57</v>
      </c>
      <c r="D13" s="13" t="s">
        <v>57</v>
      </c>
      <c r="E13" t="s">
        <v>0</v>
      </c>
    </row>
    <row r="14" spans="1:5" ht="29.25" customHeight="1" x14ac:dyDescent="0.35">
      <c r="A14" s="11">
        <v>13</v>
      </c>
      <c r="C14" t="s">
        <v>23</v>
      </c>
      <c r="D14" s="13" t="s">
        <v>23</v>
      </c>
      <c r="E14" t="s">
        <v>3</v>
      </c>
    </row>
    <row r="15" spans="1:5" ht="29.25" customHeight="1" x14ac:dyDescent="0.35">
      <c r="A15" s="11">
        <v>14</v>
      </c>
      <c r="C15" t="s">
        <v>34</v>
      </c>
      <c r="D15" s="13" t="s">
        <v>34</v>
      </c>
      <c r="E15" t="s">
        <v>3</v>
      </c>
    </row>
    <row r="16" spans="1:5" ht="29.25" customHeight="1" x14ac:dyDescent="0.35">
      <c r="A16" s="11">
        <v>15</v>
      </c>
      <c r="C16" t="s">
        <v>48</v>
      </c>
      <c r="D16" s="13" t="s">
        <v>48</v>
      </c>
      <c r="E16" t="s">
        <v>3</v>
      </c>
    </row>
    <row r="17" spans="1:5" ht="29.25" customHeight="1" x14ac:dyDescent="0.35">
      <c r="A17" s="11">
        <v>16</v>
      </c>
      <c r="C17" t="s">
        <v>51</v>
      </c>
      <c r="D17" s="13" t="s">
        <v>51</v>
      </c>
      <c r="E17" t="s">
        <v>3</v>
      </c>
    </row>
    <row r="18" spans="1:5" ht="29.25" customHeight="1" x14ac:dyDescent="0.35">
      <c r="A18" s="11">
        <v>17</v>
      </c>
      <c r="C18" t="s">
        <v>44</v>
      </c>
      <c r="D18" s="13" t="s">
        <v>44</v>
      </c>
      <c r="E18" t="s">
        <v>1</v>
      </c>
    </row>
    <row r="19" spans="1:5" ht="29.25" customHeight="1" x14ac:dyDescent="0.35">
      <c r="A19" s="11">
        <v>18</v>
      </c>
      <c r="C19" t="s">
        <v>43</v>
      </c>
      <c r="D19" s="13" t="s">
        <v>43</v>
      </c>
      <c r="E19" t="s">
        <v>1</v>
      </c>
    </row>
    <row r="20" spans="1:5" ht="29.25" customHeight="1" x14ac:dyDescent="0.35">
      <c r="A20" s="11">
        <v>19</v>
      </c>
      <c r="C20" t="s">
        <v>59</v>
      </c>
      <c r="D20" s="13" t="s">
        <v>59</v>
      </c>
      <c r="E20" t="s">
        <v>2</v>
      </c>
    </row>
    <row r="21" spans="1:5" ht="29.25" customHeight="1" x14ac:dyDescent="0.35">
      <c r="A21" s="11">
        <v>20</v>
      </c>
      <c r="C21" t="s">
        <v>37</v>
      </c>
      <c r="D21" s="13" t="s">
        <v>37</v>
      </c>
      <c r="E21" t="s">
        <v>2</v>
      </c>
    </row>
    <row r="22" spans="1:5" ht="29.25" customHeight="1" x14ac:dyDescent="0.35">
      <c r="A22" s="11">
        <v>21</v>
      </c>
      <c r="C22" t="s">
        <v>32</v>
      </c>
      <c r="D22" s="13" t="s">
        <v>32</v>
      </c>
      <c r="E22" t="s">
        <v>2</v>
      </c>
    </row>
    <row r="23" spans="1:5" ht="29.25" customHeight="1" x14ac:dyDescent="0.35">
      <c r="A23" s="11">
        <v>22</v>
      </c>
      <c r="C23" t="s">
        <v>27</v>
      </c>
      <c r="D23" s="13" t="s">
        <v>27</v>
      </c>
      <c r="E23" t="s">
        <v>3</v>
      </c>
    </row>
    <row r="24" spans="1:5" ht="29.25" customHeight="1" x14ac:dyDescent="0.35">
      <c r="A24" s="11">
        <v>23</v>
      </c>
      <c r="C24" t="s">
        <v>39</v>
      </c>
      <c r="D24" s="13" t="s">
        <v>39</v>
      </c>
      <c r="E24" t="s">
        <v>3</v>
      </c>
    </row>
    <row r="25" spans="1:5" ht="29.25" customHeight="1" x14ac:dyDescent="0.35">
      <c r="A25" s="11">
        <v>24</v>
      </c>
      <c r="C25" t="s">
        <v>49</v>
      </c>
      <c r="D25" s="13" t="s">
        <v>49</v>
      </c>
      <c r="E25" t="s">
        <v>1</v>
      </c>
    </row>
    <row r="26" spans="1:5" ht="29.25" customHeight="1" x14ac:dyDescent="0.35">
      <c r="A26" s="11">
        <v>25</v>
      </c>
      <c r="C26" t="s">
        <v>36</v>
      </c>
      <c r="D26" s="13" t="s">
        <v>36</v>
      </c>
      <c r="E26" t="s">
        <v>3</v>
      </c>
    </row>
    <row r="27" spans="1:5" ht="29.25" customHeight="1" x14ac:dyDescent="0.35">
      <c r="A27" s="11">
        <v>26</v>
      </c>
      <c r="C27" t="s">
        <v>62</v>
      </c>
      <c r="D27" s="13" t="s">
        <v>62</v>
      </c>
      <c r="E27" t="s">
        <v>0</v>
      </c>
    </row>
    <row r="28" spans="1:5" ht="29.25" customHeight="1" x14ac:dyDescent="0.35">
      <c r="A28" s="11">
        <v>27</v>
      </c>
      <c r="C28" t="s">
        <v>55</v>
      </c>
      <c r="D28" s="13" t="s">
        <v>55</v>
      </c>
      <c r="E28" t="s">
        <v>3</v>
      </c>
    </row>
    <row r="29" spans="1:5" ht="29.25" customHeight="1" x14ac:dyDescent="0.35">
      <c r="A29" s="11">
        <v>28</v>
      </c>
      <c r="C29" t="s">
        <v>53</v>
      </c>
      <c r="D29" s="13" t="s">
        <v>53</v>
      </c>
      <c r="E29" t="s">
        <v>0</v>
      </c>
    </row>
    <row r="30" spans="1:5" ht="29.25" customHeight="1" x14ac:dyDescent="0.35">
      <c r="A30" s="11">
        <v>29</v>
      </c>
      <c r="C30" t="s">
        <v>82</v>
      </c>
      <c r="D30" s="13" t="s">
        <v>60</v>
      </c>
      <c r="E30" t="s">
        <v>2</v>
      </c>
    </row>
    <row r="31" spans="1:5" ht="29.25" customHeight="1" x14ac:dyDescent="0.35">
      <c r="A31" s="11">
        <v>30</v>
      </c>
      <c r="C31" t="s">
        <v>81</v>
      </c>
      <c r="D31" s="13" t="s">
        <v>29</v>
      </c>
      <c r="E31" t="s">
        <v>2</v>
      </c>
    </row>
    <row r="32" spans="1:5" ht="29.25" customHeight="1" x14ac:dyDescent="0.35">
      <c r="A32" s="11">
        <v>31</v>
      </c>
      <c r="C32" t="s">
        <v>80</v>
      </c>
      <c r="D32" s="13" t="s">
        <v>54</v>
      </c>
      <c r="E32" t="s">
        <v>0</v>
      </c>
    </row>
    <row r="33" spans="1:5" ht="29.25" customHeight="1" x14ac:dyDescent="0.35">
      <c r="A33" s="11">
        <v>32</v>
      </c>
      <c r="C33" t="s">
        <v>79</v>
      </c>
      <c r="D33" s="13" t="s">
        <v>21</v>
      </c>
      <c r="E33" t="s">
        <v>2</v>
      </c>
    </row>
    <row r="34" spans="1:5" ht="29.25" customHeight="1" x14ac:dyDescent="0.35">
      <c r="A34" s="11">
        <v>33</v>
      </c>
      <c r="C34" t="s">
        <v>78</v>
      </c>
      <c r="D34" s="13" t="s">
        <v>28</v>
      </c>
      <c r="E34" t="s">
        <v>1</v>
      </c>
    </row>
    <row r="35" spans="1:5" ht="29.25" customHeight="1" x14ac:dyDescent="0.35">
      <c r="A35" s="11">
        <v>34</v>
      </c>
      <c r="C35" t="s">
        <v>77</v>
      </c>
      <c r="D35" s="13" t="s">
        <v>66</v>
      </c>
      <c r="E35" t="s">
        <v>3</v>
      </c>
    </row>
    <row r="36" spans="1:5" ht="29.25" customHeight="1" x14ac:dyDescent="0.35">
      <c r="A36" s="11">
        <v>35</v>
      </c>
      <c r="C36" t="s">
        <v>25</v>
      </c>
      <c r="D36" s="13" t="s">
        <v>25</v>
      </c>
      <c r="E36" t="s">
        <v>3</v>
      </c>
    </row>
    <row r="37" spans="1:5" ht="29.25" customHeight="1" x14ac:dyDescent="0.35">
      <c r="A37" s="11">
        <v>36</v>
      </c>
      <c r="C37" t="s">
        <v>46</v>
      </c>
      <c r="D37" s="13" t="s">
        <v>46</v>
      </c>
      <c r="E37" t="s">
        <v>1</v>
      </c>
    </row>
    <row r="38" spans="1:5" ht="29.25" customHeight="1" x14ac:dyDescent="0.35">
      <c r="A38" s="11">
        <v>37</v>
      </c>
      <c r="C38" t="s">
        <v>45</v>
      </c>
      <c r="D38" s="13" t="s">
        <v>45</v>
      </c>
      <c r="E38" t="s">
        <v>0</v>
      </c>
    </row>
    <row r="39" spans="1:5" ht="29.25" customHeight="1" x14ac:dyDescent="0.35">
      <c r="A39" s="11">
        <v>38</v>
      </c>
      <c r="C39" t="s">
        <v>24</v>
      </c>
      <c r="D39" s="13" t="s">
        <v>24</v>
      </c>
      <c r="E39" t="s">
        <v>2</v>
      </c>
    </row>
    <row r="40" spans="1:5" ht="29.25" customHeight="1" x14ac:dyDescent="0.35">
      <c r="A40" s="11">
        <v>39</v>
      </c>
      <c r="C40" t="s">
        <v>76</v>
      </c>
      <c r="D40" s="13" t="s">
        <v>61</v>
      </c>
      <c r="E40" t="s">
        <v>2</v>
      </c>
    </row>
    <row r="41" spans="1:5" ht="29.25" customHeight="1" x14ac:dyDescent="0.35">
      <c r="A41" s="11">
        <v>40</v>
      </c>
      <c r="C41" t="s">
        <v>75</v>
      </c>
      <c r="D41" s="13" t="s">
        <v>42</v>
      </c>
      <c r="E41" t="s">
        <v>1</v>
      </c>
    </row>
    <row r="42" spans="1:5" ht="29.25" customHeight="1" x14ac:dyDescent="0.35">
      <c r="A42" s="11">
        <v>41</v>
      </c>
      <c r="C42" t="s">
        <v>74</v>
      </c>
      <c r="D42" s="13" t="s">
        <v>64</v>
      </c>
      <c r="E42" t="s">
        <v>3</v>
      </c>
    </row>
    <row r="43" spans="1:5" ht="29.25" customHeight="1" x14ac:dyDescent="0.35">
      <c r="A43" s="11">
        <v>42</v>
      </c>
      <c r="C43" t="s">
        <v>35</v>
      </c>
      <c r="D43" s="13" t="s">
        <v>35</v>
      </c>
      <c r="E43" t="s">
        <v>1</v>
      </c>
    </row>
    <row r="44" spans="1:5" ht="29.25" customHeight="1" x14ac:dyDescent="0.35">
      <c r="A44" s="11">
        <v>43</v>
      </c>
      <c r="C44" t="s">
        <v>20</v>
      </c>
      <c r="D44" s="13" t="s">
        <v>20</v>
      </c>
      <c r="E44" t="s">
        <v>1</v>
      </c>
    </row>
    <row r="45" spans="1:5" ht="29.25" customHeight="1" x14ac:dyDescent="0.35">
      <c r="A45" s="11">
        <v>44</v>
      </c>
      <c r="C45" t="s">
        <v>52</v>
      </c>
      <c r="D45" s="13" t="s">
        <v>52</v>
      </c>
      <c r="E45" t="s">
        <v>0</v>
      </c>
    </row>
    <row r="46" spans="1:5" ht="29.25" customHeight="1" x14ac:dyDescent="0.35">
      <c r="A46" s="11">
        <v>45</v>
      </c>
      <c r="C46" t="s">
        <v>67</v>
      </c>
      <c r="D46" s="13" t="s">
        <v>67</v>
      </c>
      <c r="E46" t="s">
        <v>2</v>
      </c>
    </row>
    <row r="47" spans="1:5" ht="29.25" customHeight="1" x14ac:dyDescent="0.35">
      <c r="A47" s="11">
        <v>46</v>
      </c>
      <c r="C47" t="s">
        <v>30</v>
      </c>
      <c r="D47" s="13" t="s">
        <v>30</v>
      </c>
      <c r="E47" t="s">
        <v>1</v>
      </c>
    </row>
    <row r="48" spans="1:5" ht="29.25" customHeight="1" x14ac:dyDescent="0.35">
      <c r="A48" s="11">
        <v>47</v>
      </c>
      <c r="C48" t="s">
        <v>31</v>
      </c>
      <c r="D48" s="13" t="s">
        <v>31</v>
      </c>
      <c r="E48" t="s">
        <v>0</v>
      </c>
    </row>
    <row r="49" spans="1:5" ht="29.25" customHeight="1" x14ac:dyDescent="0.35">
      <c r="A49" s="11">
        <v>48</v>
      </c>
      <c r="C49" t="s">
        <v>73</v>
      </c>
      <c r="D49" s="13" t="s">
        <v>56</v>
      </c>
      <c r="E49" t="s">
        <v>1</v>
      </c>
    </row>
    <row r="50" spans="1:5" ht="29.25" customHeight="1" x14ac:dyDescent="0.35">
      <c r="A50" s="11">
        <v>49</v>
      </c>
      <c r="C50" t="s">
        <v>38</v>
      </c>
      <c r="D50" s="13" t="s">
        <v>38</v>
      </c>
      <c r="E50" t="s">
        <v>3</v>
      </c>
    </row>
    <row r="51" spans="1:5" ht="29.25" customHeight="1" x14ac:dyDescent="0.35">
      <c r="A51" s="11">
        <v>50</v>
      </c>
      <c r="C51" t="s">
        <v>68</v>
      </c>
      <c r="D51" s="13" t="s">
        <v>68</v>
      </c>
      <c r="E51" t="s">
        <v>0</v>
      </c>
    </row>
    <row r="52" spans="1:5" ht="29.25" customHeight="1" x14ac:dyDescent="0.35"/>
    <row r="53" spans="1:5" ht="29.25" customHeight="1" x14ac:dyDescent="0.35"/>
    <row r="54" spans="1:5" ht="29.25" customHeight="1" x14ac:dyDescent="0.35"/>
    <row r="55" spans="1:5" ht="29.25" customHeight="1" x14ac:dyDescent="0.3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4" tint="-0.249977111117893"/>
  </sheetPr>
  <dimension ref="A1:V51"/>
  <sheetViews>
    <sheetView workbookViewId="0">
      <selection activeCell="A2" sqref="A2"/>
    </sheetView>
  </sheetViews>
  <sheetFormatPr defaultRowHeight="14.5" x14ac:dyDescent="0.35"/>
  <cols>
    <col min="2" max="2" width="15.26953125" bestFit="1" customWidth="1"/>
    <col min="3" max="3" width="14.26953125" bestFit="1" customWidth="1"/>
    <col min="4" max="4" width="11.1796875" bestFit="1" customWidth="1"/>
    <col min="5" max="6" width="15.7265625" bestFit="1" customWidth="1"/>
    <col min="7" max="7" width="7.54296875" bestFit="1" customWidth="1"/>
    <col min="8" max="8" width="18.1796875" bestFit="1" customWidth="1"/>
    <col min="9" max="10" width="17.453125" bestFit="1" customWidth="1"/>
    <col min="11" max="11" width="15" bestFit="1" customWidth="1"/>
    <col min="13" max="13" width="12.453125" bestFit="1" customWidth="1"/>
    <col min="14" max="14" width="9" bestFit="1" customWidth="1"/>
    <col min="15" max="15" width="8.81640625" bestFit="1" customWidth="1"/>
    <col min="16" max="16" width="15.26953125" customWidth="1"/>
    <col min="17" max="18" width="12.453125" customWidth="1"/>
    <col min="21" max="21" width="15.1796875" customWidth="1"/>
  </cols>
  <sheetData>
    <row r="1" spans="1:22" ht="30.75" customHeight="1" x14ac:dyDescent="0.35">
      <c r="A1" s="19" t="s">
        <v>93</v>
      </c>
      <c r="B1" s="19" t="s">
        <v>4</v>
      </c>
      <c r="C1" s="19" t="s">
        <v>5</v>
      </c>
      <c r="D1" s="19" t="s">
        <v>6</v>
      </c>
      <c r="E1" s="19" t="s">
        <v>7</v>
      </c>
      <c r="F1" s="19" t="s">
        <v>8</v>
      </c>
      <c r="G1" s="19" t="s">
        <v>9</v>
      </c>
      <c r="H1" s="14" t="s">
        <v>10</v>
      </c>
      <c r="I1" s="14" t="s">
        <v>11</v>
      </c>
      <c r="J1" s="20" t="s">
        <v>12</v>
      </c>
      <c r="K1" s="14" t="s">
        <v>13</v>
      </c>
      <c r="L1" s="14" t="s">
        <v>14</v>
      </c>
      <c r="M1" s="14" t="s">
        <v>15</v>
      </c>
      <c r="N1" s="14" t="s">
        <v>16</v>
      </c>
      <c r="O1" s="14" t="s">
        <v>17</v>
      </c>
      <c r="P1" s="14" t="s">
        <v>18</v>
      </c>
      <c r="Q1" s="14" t="s">
        <v>85</v>
      </c>
      <c r="R1" s="14" t="s">
        <v>90</v>
      </c>
      <c r="S1" s="14" t="s">
        <v>16</v>
      </c>
      <c r="T1" s="14" t="s">
        <v>17</v>
      </c>
      <c r="U1" s="14" t="s">
        <v>86</v>
      </c>
    </row>
    <row r="2" spans="1:22" x14ac:dyDescent="0.35">
      <c r="A2">
        <v>1</v>
      </c>
      <c r="B2" s="2" t="s">
        <v>19</v>
      </c>
      <c r="C2" s="2" t="str">
        <f>VLOOKUP(B2,States!$D$2:$E$51,2,0)</f>
        <v>The West</v>
      </c>
      <c r="D2" s="3">
        <v>38041430</v>
      </c>
      <c r="E2" s="3">
        <v>37253956</v>
      </c>
      <c r="F2" s="3">
        <v>33871648</v>
      </c>
      <c r="G2" s="2">
        <v>0.1191</v>
      </c>
      <c r="H2" s="4">
        <v>244.2</v>
      </c>
      <c r="I2" s="5">
        <v>292563574000</v>
      </c>
      <c r="J2" s="1">
        <v>435914805277.5</v>
      </c>
      <c r="K2" s="6">
        <v>8.6999999999999994E-2</v>
      </c>
      <c r="L2" s="7">
        <f>RANK(D2,D$2:D$51)+COUNTIF(D$2:D2,D2)-1</f>
        <v>1</v>
      </c>
      <c r="M2" s="7">
        <f>RANK(H2,H$2:H$51)+COUNTIF(H$2:H2,H2)-1</f>
        <v>10</v>
      </c>
      <c r="N2" s="7">
        <f>RANK(I2,I$2:I$51)+COUNTIF(I$2:I2,I2)-1</f>
        <v>1</v>
      </c>
      <c r="O2" s="7">
        <f>RANK(J2,J$2:J$51)+COUNTIF(J$2:J2,J2)-1</f>
        <v>1</v>
      </c>
      <c r="P2" s="7">
        <f>RANK(K2,K$2:K$51)+COUNTIF(K$2:K2,K2)-1</f>
        <v>5</v>
      </c>
      <c r="Q2" s="7">
        <f t="shared" ref="Q2:Q4" si="0">SUMPRODUCT((C$2:C$601=$C2)*(D$2:D$601&gt;D2))+1</f>
        <v>1</v>
      </c>
      <c r="R2" s="7">
        <f>SUMPRODUCT((C$2:C$601=$C2)*(H$2:H$601&gt;H2))+1</f>
        <v>1</v>
      </c>
      <c r="S2" s="7">
        <f>SUMPRODUCT(($C$2:$C$601=$C2)*(I$2:I$601&gt;I2))+1</f>
        <v>1</v>
      </c>
      <c r="T2" s="7">
        <f>SUMPRODUCT(($C$2:$C$601=$C2)*(I$2:I$601&gt;I2))+1</f>
        <v>1</v>
      </c>
      <c r="U2" s="25">
        <f>COUNTIFS($C:$C,$C2,$K:$K,"&gt;"&amp;$K2)+COUNTIFS($C$2:$C2,$C2,$K$2:$K2,$K2)</f>
        <v>2</v>
      </c>
      <c r="V2" s="7"/>
    </row>
    <row r="3" spans="1:22" x14ac:dyDescent="0.35">
      <c r="A3">
        <v>2</v>
      </c>
      <c r="B3" s="2" t="s">
        <v>20</v>
      </c>
      <c r="C3" s="2" t="str">
        <f>VLOOKUP(B3,States!$D$2:$E$51,2,0)</f>
        <v>The South</v>
      </c>
      <c r="D3" s="3">
        <v>26059203</v>
      </c>
      <c r="E3" s="3">
        <v>25145561</v>
      </c>
      <c r="F3" s="3">
        <v>20851820</v>
      </c>
      <c r="G3" s="2">
        <v>8.0399999999999999E-2</v>
      </c>
      <c r="H3" s="4">
        <v>98.07</v>
      </c>
      <c r="I3" s="5">
        <v>219459878000</v>
      </c>
      <c r="J3" s="1">
        <v>293723251710</v>
      </c>
      <c r="K3" s="6">
        <v>6.2E-2</v>
      </c>
      <c r="L3" s="7">
        <f>RANK(D3,D$2:D$51)+COUNTIF(D$2:D3,D3)-1</f>
        <v>2</v>
      </c>
      <c r="M3" s="7">
        <f>RANK(H3,H$2:H$51)+COUNTIF(H$2:H3,H3)-1</f>
        <v>26</v>
      </c>
      <c r="N3" s="7">
        <f>RANK(I3,I$2:I$51)+COUNTIF(I$2:I3,I3)-1</f>
        <v>2</v>
      </c>
      <c r="O3" s="7">
        <f>RANK(J3,J$2:J$51)+COUNTIF(J$2:J3,J3)-1</f>
        <v>2</v>
      </c>
      <c r="P3" s="7">
        <f>RANK(K3,K$2:K$51)+COUNTIF(K$2:K3,K3)-1</f>
        <v>35</v>
      </c>
      <c r="Q3" s="7">
        <f t="shared" si="0"/>
        <v>1</v>
      </c>
      <c r="R3" s="7">
        <f t="shared" ref="R3:R51" si="1">SUMPRODUCT((C$2:C$601=$C3)*(H$2:H$601&gt;H3))+1</f>
        <v>9</v>
      </c>
      <c r="S3" s="7">
        <f>SUMPRODUCT(($C$2:$C$601=$C3)*(I$2:I$601&gt;I3))+1</f>
        <v>1</v>
      </c>
      <c r="T3" s="7">
        <f t="shared" ref="T3:T51" si="2">SUMPRODUCT(($C$2:$C$601=$C3)*(I$2:I$601&gt;I3))+1</f>
        <v>1</v>
      </c>
      <c r="U3" s="25">
        <f>COUNTIFS($C:$C,$C3,$K:$K,"&gt;"&amp;$K3)+COUNTIFS($C$2:$C3,$C3,$K$2:$K3,$K3)</f>
        <v>11</v>
      </c>
      <c r="V3" s="7"/>
    </row>
    <row r="4" spans="1:22" x14ac:dyDescent="0.35">
      <c r="A4">
        <v>3</v>
      </c>
      <c r="B4" s="2" t="s">
        <v>21</v>
      </c>
      <c r="C4" s="2" t="str">
        <f>VLOOKUP(B4,States!$D$2:$E$51,2,0)</f>
        <v>The North-East</v>
      </c>
      <c r="D4" s="3">
        <v>19570261</v>
      </c>
      <c r="E4" s="3">
        <v>19378102</v>
      </c>
      <c r="F4" s="3">
        <v>18976457</v>
      </c>
      <c r="G4" s="2">
        <v>6.1899999999999997E-2</v>
      </c>
      <c r="H4" s="4">
        <v>415.3</v>
      </c>
      <c r="I4" s="5">
        <v>201167954000</v>
      </c>
      <c r="J4" s="1">
        <v>226137677622.5</v>
      </c>
      <c r="K4" s="6">
        <v>7.6999999999999999E-2</v>
      </c>
      <c r="L4" s="7">
        <f>RANK(D4,D$2:D$51)+COUNTIF(D$2:D4,D4)-1</f>
        <v>3</v>
      </c>
      <c r="M4" s="7">
        <f>RANK(H4,H$2:H$51)+COUNTIF(H$2:H4,H4)-1</f>
        <v>6</v>
      </c>
      <c r="N4" s="7">
        <f>RANK(I4,I$2:I$51)+COUNTIF(I$2:I4,I4)-1</f>
        <v>3</v>
      </c>
      <c r="O4" s="7">
        <f>RANK(J4,J$2:J$51)+COUNTIF(J$2:J4,J4)-1</f>
        <v>3</v>
      </c>
      <c r="P4" s="7">
        <f>RANK(K4,K$2:K$51)+COUNTIF(K$2:K4,K4)-1</f>
        <v>14</v>
      </c>
      <c r="Q4" s="7">
        <f t="shared" si="0"/>
        <v>1</v>
      </c>
      <c r="R4" s="7">
        <f t="shared" si="1"/>
        <v>6</v>
      </c>
      <c r="S4" s="7">
        <f t="shared" ref="S4:S51" si="3">SUMPRODUCT(($C$2:$C$601=$C4)*(I$2:I$601&gt;I4))+1</f>
        <v>1</v>
      </c>
      <c r="T4" s="7">
        <f t="shared" si="2"/>
        <v>1</v>
      </c>
      <c r="U4" s="25">
        <f>COUNTIFS($C:$C,$C4,$K:$K,"&gt;"&amp;$K4)+COUNTIFS($C$2:$C4,$C4,$K$2:$K4,$K4)</f>
        <v>4</v>
      </c>
      <c r="V4" s="7"/>
    </row>
    <row r="5" spans="1:22" x14ac:dyDescent="0.35">
      <c r="A5">
        <v>4</v>
      </c>
      <c r="B5" s="2" t="s">
        <v>22</v>
      </c>
      <c r="C5" s="2" t="str">
        <f>VLOOKUP(B5,States!$D$2:$E$51,2,0)</f>
        <v>The South</v>
      </c>
      <c r="D5" s="3">
        <v>19317568</v>
      </c>
      <c r="E5" s="3">
        <v>18801310</v>
      </c>
      <c r="F5" s="3">
        <v>15982378</v>
      </c>
      <c r="G5" s="2">
        <v>6.0100000000000001E-2</v>
      </c>
      <c r="H5" s="4">
        <v>360.2</v>
      </c>
      <c r="I5" s="5">
        <v>122249635000</v>
      </c>
      <c r="J5" s="1">
        <v>219561783927.5</v>
      </c>
      <c r="K5" s="6">
        <v>6.7000000000000004E-2</v>
      </c>
      <c r="L5" s="7">
        <f>RANK(D5,D$2:D$51)+COUNTIF(D$2:D5,D5)-1</f>
        <v>4</v>
      </c>
      <c r="M5" s="7">
        <f>RANK(H5,H$2:H$51)+COUNTIF(H$2:H5,H5)-1</f>
        <v>7</v>
      </c>
      <c r="N5" s="7">
        <f>RANK(I5,I$2:I$51)+COUNTIF(I$2:I5,I5)-1</f>
        <v>5</v>
      </c>
      <c r="O5" s="7">
        <f>RANK(J5,J$2:J$51)+COUNTIF(J$2:J5,J5)-1</f>
        <v>4</v>
      </c>
      <c r="P5" s="7">
        <f>RANK(K5,K$2:K$51)+COUNTIF(K$2:K5,K5)-1</f>
        <v>25</v>
      </c>
      <c r="Q5" s="7">
        <f>SUMPRODUCT((C$2:C$601=$C5)*(D$2:D$601&gt;D5))+1</f>
        <v>2</v>
      </c>
      <c r="R5" s="7">
        <f t="shared" si="1"/>
        <v>1</v>
      </c>
      <c r="S5" s="7">
        <f t="shared" si="3"/>
        <v>2</v>
      </c>
      <c r="T5" s="7">
        <f t="shared" si="2"/>
        <v>2</v>
      </c>
      <c r="U5" s="25">
        <f>COUNTIFS($C:$C,$C5,$K:$K,"&gt;"&amp;$K5)+COUNTIFS($C$2:$C5,$C5,$K$2:$K5,$K5)</f>
        <v>8</v>
      </c>
      <c r="V5" s="7"/>
    </row>
    <row r="6" spans="1:22" x14ac:dyDescent="0.35">
      <c r="A6">
        <v>5</v>
      </c>
      <c r="B6" t="s">
        <v>23</v>
      </c>
      <c r="C6" s="2" t="str">
        <f>VLOOKUP(B6,States!$D$2:$E$51,2,0)</f>
        <v>The Mid-West</v>
      </c>
      <c r="D6" s="3">
        <v>12875255</v>
      </c>
      <c r="E6" s="3">
        <v>12830632</v>
      </c>
      <c r="F6" s="3">
        <v>12419293</v>
      </c>
      <c r="G6" s="2">
        <v>4.1000000000000002E-2</v>
      </c>
      <c r="H6" s="4">
        <v>231.9</v>
      </c>
      <c r="I6" s="5">
        <v>124431227000</v>
      </c>
      <c r="J6" s="1">
        <v>149784245275</v>
      </c>
      <c r="K6" s="6">
        <v>8.900000000000001E-2</v>
      </c>
      <c r="L6" s="7">
        <f>RANK(D6,D$2:D$51)+COUNTIF(D$2:D6,D6)-1</f>
        <v>5</v>
      </c>
      <c r="M6" s="7">
        <f>RANK(H6,H$2:H$51)+COUNTIF(H$2:H6,H6)-1</f>
        <v>11</v>
      </c>
      <c r="N6" s="7">
        <f>RANK(I6,I$2:I$51)+COUNTIF(I$2:I6,I6)-1</f>
        <v>4</v>
      </c>
      <c r="O6" s="7">
        <f>RANK(J6,J$2:J$51)+COUNTIF(J$2:J6,J6)-1</f>
        <v>5</v>
      </c>
      <c r="P6" s="7">
        <f>RANK(K6,K$2:K$51)+COUNTIF(K$2:K6,K6)-1</f>
        <v>4</v>
      </c>
      <c r="Q6" s="7">
        <f t="shared" ref="Q6:Q51" si="4">SUMPRODUCT((C$2:C$601=$C6)*(D$2:D$601&gt;D6))+1</f>
        <v>1</v>
      </c>
      <c r="R6" s="7">
        <f t="shared" si="1"/>
        <v>2</v>
      </c>
      <c r="S6" s="7">
        <f t="shared" si="3"/>
        <v>1</v>
      </c>
      <c r="T6" s="7">
        <f t="shared" si="2"/>
        <v>1</v>
      </c>
      <c r="U6" s="25">
        <f>COUNTIFS($C:$C,$C6,$K:$K,"&gt;"&amp;$K6)+COUNTIFS($C$2:$C6,$C6,$K$2:$K6,$K6)</f>
        <v>2</v>
      </c>
      <c r="V6" s="7"/>
    </row>
    <row r="7" spans="1:22" x14ac:dyDescent="0.35">
      <c r="A7">
        <v>6</v>
      </c>
      <c r="B7" s="2" t="s">
        <v>24</v>
      </c>
      <c r="C7" s="2" t="str">
        <f>VLOOKUP(B7,States!$D$2:$E$51,2,0)</f>
        <v>The North-East</v>
      </c>
      <c r="D7" s="3">
        <v>12763536</v>
      </c>
      <c r="E7" s="3">
        <v>12702379</v>
      </c>
      <c r="F7" s="3">
        <v>12281054</v>
      </c>
      <c r="G7" s="2">
        <v>4.0599999999999997E-2</v>
      </c>
      <c r="H7" s="4">
        <v>285.3</v>
      </c>
      <c r="I7" s="5">
        <v>108961515000</v>
      </c>
      <c r="J7" s="1">
        <v>148322935565</v>
      </c>
      <c r="K7" s="6">
        <v>7.4999999999999997E-2</v>
      </c>
      <c r="L7" s="7">
        <f>RANK(D7,D$2:D$51)+COUNTIF(D$2:D7,D7)-1</f>
        <v>6</v>
      </c>
      <c r="M7" s="7">
        <f>RANK(H7,H$2:H$51)+COUNTIF(H$2:H7,H7)-1</f>
        <v>8</v>
      </c>
      <c r="N7" s="7">
        <f>RANK(I7,I$2:I$51)+COUNTIF(I$2:I7,I7)-1</f>
        <v>8</v>
      </c>
      <c r="O7" s="7">
        <f>RANK(J7,J$2:J$51)+COUNTIF(J$2:J7,J7)-1</f>
        <v>6</v>
      </c>
      <c r="P7" s="7">
        <f>RANK(K7,K$2:K$51)+COUNTIF(K$2:K7,K7)-1</f>
        <v>16</v>
      </c>
      <c r="Q7" s="7">
        <f t="shared" si="4"/>
        <v>2</v>
      </c>
      <c r="R7" s="7">
        <f t="shared" si="1"/>
        <v>7</v>
      </c>
      <c r="S7" s="7">
        <f t="shared" si="3"/>
        <v>3</v>
      </c>
      <c r="T7" s="7">
        <f t="shared" si="2"/>
        <v>3</v>
      </c>
      <c r="U7" s="25">
        <f>COUNTIFS($C:$C,$C7,$K:$K,"&gt;"&amp;$K7)+COUNTIFS($C$2:$C7,$C7,$K$2:$K7,$K7)</f>
        <v>5</v>
      </c>
      <c r="V7" s="7"/>
    </row>
    <row r="8" spans="1:22" x14ac:dyDescent="0.35">
      <c r="A8">
        <v>7</v>
      </c>
      <c r="B8" s="2" t="s">
        <v>25</v>
      </c>
      <c r="C8" s="2" t="str">
        <f>VLOOKUP(B8,States!$D$2:$E$51,2,0)</f>
        <v>The Mid-West</v>
      </c>
      <c r="D8" s="3">
        <v>11544225</v>
      </c>
      <c r="E8" s="3">
        <v>11536504</v>
      </c>
      <c r="F8" s="3">
        <v>11353140</v>
      </c>
      <c r="G8" s="2">
        <v>3.6900000000000002E-2</v>
      </c>
      <c r="H8" s="4">
        <v>282.5</v>
      </c>
      <c r="I8" s="5">
        <v>111094276000</v>
      </c>
      <c r="J8" s="1">
        <v>134805820747.50002</v>
      </c>
      <c r="K8" s="6">
        <v>7.4999999999999997E-2</v>
      </c>
      <c r="L8" s="7">
        <f>RANK(D8,D$2:D$51)+COUNTIF(D$2:D8,D8)-1</f>
        <v>7</v>
      </c>
      <c r="M8" s="7">
        <f>RANK(H8,H$2:H$51)+COUNTIF(H$2:H8,H8)-1</f>
        <v>9</v>
      </c>
      <c r="N8" s="7">
        <f>RANK(I8,I$2:I$51)+COUNTIF(I$2:I8,I8)-1</f>
        <v>7</v>
      </c>
      <c r="O8" s="7">
        <f>RANK(J8,J$2:J$51)+COUNTIF(J$2:J8,J8)-1</f>
        <v>7</v>
      </c>
      <c r="P8" s="7">
        <f>RANK(K8,K$2:K$51)+COUNTIF(K$2:K8,K8)-1</f>
        <v>17</v>
      </c>
      <c r="Q8" s="7">
        <f t="shared" si="4"/>
        <v>2</v>
      </c>
      <c r="R8" s="7">
        <f t="shared" si="1"/>
        <v>1</v>
      </c>
      <c r="S8" s="7">
        <f t="shared" si="3"/>
        <v>2</v>
      </c>
      <c r="T8" s="7">
        <f t="shared" si="2"/>
        <v>2</v>
      </c>
      <c r="U8" s="25">
        <f>COUNTIFS($C:$C,$C8,$K:$K,"&gt;"&amp;$K8)+COUNTIFS($C$2:$C8,$C8,$K$2:$K8,$K8)</f>
        <v>3</v>
      </c>
      <c r="V8" s="7"/>
    </row>
    <row r="9" spans="1:22" x14ac:dyDescent="0.35">
      <c r="A9">
        <v>8</v>
      </c>
      <c r="B9" s="2" t="s">
        <v>26</v>
      </c>
      <c r="C9" s="2" t="str">
        <f>VLOOKUP(B9,States!$D$2:$E$51,2,0)</f>
        <v>The South</v>
      </c>
      <c r="D9" s="3">
        <v>9919945</v>
      </c>
      <c r="E9" s="3">
        <v>9687653</v>
      </c>
      <c r="F9" s="3">
        <v>8186453</v>
      </c>
      <c r="G9" s="2">
        <v>3.1E-2</v>
      </c>
      <c r="H9" s="4">
        <v>172.5</v>
      </c>
      <c r="I9" s="5">
        <v>65498308000</v>
      </c>
      <c r="J9" s="1">
        <v>113251502525</v>
      </c>
      <c r="K9" s="6">
        <v>8.1000000000000003E-2</v>
      </c>
      <c r="L9" s="7">
        <f>RANK(D9,D$2:D$51)+COUNTIF(D$2:D9,D9)-1</f>
        <v>8</v>
      </c>
      <c r="M9" s="7">
        <f>RANK(H9,H$2:H$51)+COUNTIF(H$2:H9,H9)-1</f>
        <v>17</v>
      </c>
      <c r="N9" s="7">
        <f>RANK(I9,I$2:I$51)+COUNTIF(I$2:I9,I9)-1</f>
        <v>11</v>
      </c>
      <c r="O9" s="7">
        <f>RANK(J9,J$2:J$51)+COUNTIF(J$2:J9,J9)-1</f>
        <v>9</v>
      </c>
      <c r="P9" s="7">
        <f>RANK(K9,K$2:K$51)+COUNTIF(K$2:K9,K9)-1</f>
        <v>11</v>
      </c>
      <c r="Q9" s="7">
        <f t="shared" si="4"/>
        <v>3</v>
      </c>
      <c r="R9" s="7">
        <f t="shared" si="1"/>
        <v>4</v>
      </c>
      <c r="S9" s="7">
        <f t="shared" si="3"/>
        <v>3</v>
      </c>
      <c r="T9" s="7">
        <f t="shared" si="2"/>
        <v>3</v>
      </c>
      <c r="U9" s="25">
        <f>COUNTIFS($C:$C,$C9,$K:$K,"&gt;"&amp;$K9)+COUNTIFS($C$2:$C9,$C9,$K$2:$K9,$K9)</f>
        <v>4</v>
      </c>
      <c r="V9" s="7"/>
    </row>
    <row r="10" spans="1:22" x14ac:dyDescent="0.35">
      <c r="A10">
        <v>9</v>
      </c>
      <c r="B10" s="2" t="s">
        <v>27</v>
      </c>
      <c r="C10" s="2" t="str">
        <f>VLOOKUP(B10,States!$D$2:$E$51,2,0)</f>
        <v>The Mid-West</v>
      </c>
      <c r="D10" s="3">
        <v>9883360</v>
      </c>
      <c r="E10" s="3">
        <v>9883640</v>
      </c>
      <c r="F10" s="3">
        <v>9938444</v>
      </c>
      <c r="G10" s="2">
        <v>3.1600000000000003E-2</v>
      </c>
      <c r="H10" s="4">
        <v>174.8</v>
      </c>
      <c r="I10" s="5">
        <v>59210158000</v>
      </c>
      <c r="J10" s="1">
        <v>115443467090.00002</v>
      </c>
      <c r="K10" s="6">
        <v>0.09</v>
      </c>
      <c r="L10" s="7">
        <f>RANK(D10,D$2:D$51)+COUNTIF(D$2:D10,D10)-1</f>
        <v>9</v>
      </c>
      <c r="M10" s="7">
        <f>RANK(H10,H$2:H$51)+COUNTIF(H$2:H10,H10)-1</f>
        <v>16</v>
      </c>
      <c r="N10" s="7">
        <f>RANK(I10,I$2:I$51)+COUNTIF(I$2:I10,I10)-1</f>
        <v>14</v>
      </c>
      <c r="O10" s="7">
        <f>RANK(J10,J$2:J$51)+COUNTIF(J$2:J10,J10)-1</f>
        <v>8</v>
      </c>
      <c r="P10" s="7">
        <f>RANK(K10,K$2:K$51)+COUNTIF(K$2:K10,K10)-1</f>
        <v>3</v>
      </c>
      <c r="Q10" s="7">
        <f t="shared" si="4"/>
        <v>3</v>
      </c>
      <c r="R10" s="7">
        <f t="shared" si="1"/>
        <v>4</v>
      </c>
      <c r="S10" s="7">
        <f t="shared" si="3"/>
        <v>4</v>
      </c>
      <c r="T10" s="7">
        <f t="shared" si="2"/>
        <v>4</v>
      </c>
      <c r="U10" s="25">
        <f>COUNTIFS($C:$C,$C10,$K:$K,"&gt;"&amp;$K10)+COUNTIFS($C$2:$C10,$C10,$K$2:$K10,$K10)</f>
        <v>1</v>
      </c>
      <c r="V10" s="7"/>
    </row>
    <row r="11" spans="1:22" x14ac:dyDescent="0.35">
      <c r="A11">
        <v>10</v>
      </c>
      <c r="B11" s="2" t="s">
        <v>28</v>
      </c>
      <c r="C11" s="2" t="str">
        <f>VLOOKUP(B11,States!$D$2:$E$51,2,0)</f>
        <v>The South</v>
      </c>
      <c r="D11" s="3">
        <v>9752073</v>
      </c>
      <c r="E11" s="3">
        <v>9535483</v>
      </c>
      <c r="F11" s="3">
        <v>8049313</v>
      </c>
      <c r="G11" s="2">
        <v>3.0499999999999999E-2</v>
      </c>
      <c r="H11" s="4">
        <v>200.6</v>
      </c>
      <c r="I11" s="5">
        <v>61600064000</v>
      </c>
      <c r="J11" s="1">
        <v>111424865387.5</v>
      </c>
      <c r="K11" s="6">
        <v>0.08</v>
      </c>
      <c r="L11" s="7">
        <f>RANK(D11,D$2:D$51)+COUNTIF(D$2:D11,D11)-1</f>
        <v>10</v>
      </c>
      <c r="M11" s="7">
        <f>RANK(H11,H$2:H$51)+COUNTIF(H$2:H11,H11)-1</f>
        <v>14</v>
      </c>
      <c r="N11" s="7">
        <f>RANK(I11,I$2:I$51)+COUNTIF(I$2:I11,I11)-1</f>
        <v>13</v>
      </c>
      <c r="O11" s="7">
        <f>RANK(J11,J$2:J$51)+COUNTIF(J$2:J11,J11)-1</f>
        <v>10</v>
      </c>
      <c r="P11" s="7">
        <f>RANK(K11,K$2:K$51)+COUNTIF(K$2:K11,K11)-1</f>
        <v>12</v>
      </c>
      <c r="Q11" s="7">
        <f t="shared" si="4"/>
        <v>4</v>
      </c>
      <c r="R11" s="7">
        <f t="shared" si="1"/>
        <v>3</v>
      </c>
      <c r="S11" s="7">
        <f t="shared" si="3"/>
        <v>5</v>
      </c>
      <c r="T11" s="7">
        <f t="shared" si="2"/>
        <v>5</v>
      </c>
      <c r="U11" s="25">
        <f>COUNTIFS($C:$C,$C11,$K:$K,"&gt;"&amp;$K11)+COUNTIFS($C$2:$C11,$C11,$K$2:$K11,$K11)</f>
        <v>5</v>
      </c>
      <c r="V11" s="7"/>
    </row>
    <row r="12" spans="1:22" x14ac:dyDescent="0.35">
      <c r="A12">
        <v>11</v>
      </c>
      <c r="B12" s="2" t="s">
        <v>29</v>
      </c>
      <c r="C12" s="2" t="str">
        <f>VLOOKUP(B12,States!$D$2:$E$51,2,0)</f>
        <v>The North-East</v>
      </c>
      <c r="D12" s="3">
        <v>8864590</v>
      </c>
      <c r="E12" s="3">
        <v>8791894</v>
      </c>
      <c r="F12" s="3">
        <v>8414350</v>
      </c>
      <c r="G12" s="2">
        <v>2.81E-2</v>
      </c>
      <c r="H12" s="4">
        <v>1189</v>
      </c>
      <c r="I12" s="5">
        <v>111377490000</v>
      </c>
      <c r="J12" s="1">
        <v>102657007127.5</v>
      </c>
      <c r="K12" s="6">
        <v>8.4000000000000005E-2</v>
      </c>
      <c r="L12" s="7">
        <f>RANK(D12,D$2:D$51)+COUNTIF(D$2:D12,D12)-1</f>
        <v>11</v>
      </c>
      <c r="M12" s="7">
        <f>RANK(H12,H$2:H$51)+COUNTIF(H$2:H12,H12)-1</f>
        <v>1</v>
      </c>
      <c r="N12" s="7">
        <f>RANK(I12,I$2:I$51)+COUNTIF(I$2:I12,I12)-1</f>
        <v>6</v>
      </c>
      <c r="O12" s="7">
        <f>RANK(J12,J$2:J$51)+COUNTIF(J$2:J12,J12)-1</f>
        <v>11</v>
      </c>
      <c r="P12" s="7">
        <f>RANK(K12,K$2:K$51)+COUNTIF(K$2:K12,K12)-1</f>
        <v>7</v>
      </c>
      <c r="Q12" s="7">
        <f t="shared" si="4"/>
        <v>3</v>
      </c>
      <c r="R12" s="7">
        <f t="shared" si="1"/>
        <v>1</v>
      </c>
      <c r="S12" s="7">
        <f t="shared" si="3"/>
        <v>2</v>
      </c>
      <c r="T12" s="7">
        <f t="shared" si="2"/>
        <v>2</v>
      </c>
      <c r="U12" s="25">
        <f>COUNTIFS($C:$C,$C12,$K:$K,"&gt;"&amp;$K12)+COUNTIFS($C$2:$C12,$C12,$K$2:$K12,$K12)</f>
        <v>2</v>
      </c>
      <c r="V12" s="7"/>
    </row>
    <row r="13" spans="1:22" x14ac:dyDescent="0.35">
      <c r="A13">
        <v>12</v>
      </c>
      <c r="B13" s="2" t="s">
        <v>30</v>
      </c>
      <c r="C13" s="2" t="str">
        <f>VLOOKUP(B13,States!$D$2:$E$51,2,0)</f>
        <v>The South</v>
      </c>
      <c r="D13" s="3">
        <v>8185867</v>
      </c>
      <c r="E13" s="3">
        <v>8001024</v>
      </c>
      <c r="F13" s="3">
        <v>7078515</v>
      </c>
      <c r="G13" s="2">
        <v>2.5600000000000001E-2</v>
      </c>
      <c r="H13" s="4">
        <v>207.3</v>
      </c>
      <c r="I13" s="5">
        <v>64297400000</v>
      </c>
      <c r="J13" s="1">
        <v>93523821440</v>
      </c>
      <c r="K13" s="6">
        <v>5.5999999999999994E-2</v>
      </c>
      <c r="L13" s="7">
        <f>RANK(D13,D$2:D$51)+COUNTIF(D$2:D13,D13)-1</f>
        <v>12</v>
      </c>
      <c r="M13" s="7">
        <f>RANK(H13,H$2:H$51)+COUNTIF(H$2:H13,H13)-1</f>
        <v>13</v>
      </c>
      <c r="N13" s="7">
        <f>RANK(I13,I$2:I$51)+COUNTIF(I$2:I13,I13)-1</f>
        <v>12</v>
      </c>
      <c r="O13" s="7">
        <f>RANK(J13,J$2:J$51)+COUNTIF(J$2:J13,J13)-1</f>
        <v>12</v>
      </c>
      <c r="P13" s="7">
        <f>RANK(K13,K$2:K$51)+COUNTIF(K$2:K13,K13)-1</f>
        <v>37</v>
      </c>
      <c r="Q13" s="7">
        <f t="shared" si="4"/>
        <v>5</v>
      </c>
      <c r="R13" s="7">
        <f t="shared" si="1"/>
        <v>2</v>
      </c>
      <c r="S13" s="7">
        <f t="shared" si="3"/>
        <v>4</v>
      </c>
      <c r="T13" s="7">
        <f t="shared" si="2"/>
        <v>4</v>
      </c>
      <c r="U13" s="25">
        <f>COUNTIFS($C:$C,$C13,$K:$K,"&gt;"&amp;$K13)+COUNTIFS($C$2:$C13,$C13,$K$2:$K13,$K13)</f>
        <v>13</v>
      </c>
      <c r="V13" s="7"/>
    </row>
    <row r="14" spans="1:22" x14ac:dyDescent="0.35">
      <c r="A14">
        <v>13</v>
      </c>
      <c r="B14" s="2" t="s">
        <v>31</v>
      </c>
      <c r="C14" s="2" t="str">
        <f>VLOOKUP(B14,States!$D$2:$E$51,2,0)</f>
        <v>The West</v>
      </c>
      <c r="D14" s="3">
        <v>6897012</v>
      </c>
      <c r="E14" s="3">
        <v>6724540</v>
      </c>
      <c r="F14" s="3">
        <v>5894121</v>
      </c>
      <c r="G14" s="2">
        <v>2.1499999999999998E-2</v>
      </c>
      <c r="H14" s="4">
        <v>102.6</v>
      </c>
      <c r="I14" s="5">
        <v>52443862000</v>
      </c>
      <c r="J14" s="1">
        <v>78545396912.5</v>
      </c>
      <c r="K14" s="6">
        <v>7.0000000000000007E-2</v>
      </c>
      <c r="L14" s="7">
        <f>RANK(D14,D$2:D$51)+COUNTIF(D$2:D14,D14)-1</f>
        <v>13</v>
      </c>
      <c r="M14" s="7">
        <f>RANK(H14,H$2:H$51)+COUNTIF(H$2:H14,H14)-1</f>
        <v>24</v>
      </c>
      <c r="N14" s="7">
        <f>RANK(I14,I$2:I$51)+COUNTIF(I$2:I14,I14)-1</f>
        <v>15</v>
      </c>
      <c r="O14" s="7">
        <f>RANK(J14,J$2:J$51)+COUNTIF(J$2:J14,J14)-1</f>
        <v>13</v>
      </c>
      <c r="P14" s="7">
        <f>RANK(K14,K$2:K$51)+COUNTIF(K$2:K14,K14)-1</f>
        <v>22</v>
      </c>
      <c r="Q14" s="7">
        <f t="shared" si="4"/>
        <v>2</v>
      </c>
      <c r="R14" s="7">
        <f t="shared" si="1"/>
        <v>3</v>
      </c>
      <c r="S14" s="7">
        <f t="shared" si="3"/>
        <v>2</v>
      </c>
      <c r="T14" s="7">
        <f t="shared" si="2"/>
        <v>2</v>
      </c>
      <c r="U14" s="25">
        <f>COUNTIFS($C:$C,$C14,$K:$K,"&gt;"&amp;$K14)+COUNTIFS($C$2:$C14,$C14,$K$2:$K14,$K14)</f>
        <v>5</v>
      </c>
      <c r="V14" s="7"/>
    </row>
    <row r="15" spans="1:22" x14ac:dyDescent="0.35">
      <c r="A15">
        <v>14</v>
      </c>
      <c r="B15" s="2" t="s">
        <v>32</v>
      </c>
      <c r="C15" s="2" t="str">
        <f>VLOOKUP(B15,States!$D$2:$E$51,2,0)</f>
        <v>The North-East</v>
      </c>
      <c r="D15" s="3">
        <v>6646144</v>
      </c>
      <c r="E15" s="3">
        <v>6547629</v>
      </c>
      <c r="F15" s="3">
        <v>6349097</v>
      </c>
      <c r="G15" s="2">
        <v>2.0899999999999998E-2</v>
      </c>
      <c r="H15" s="4">
        <v>852.1</v>
      </c>
      <c r="I15" s="5">
        <v>79826976000</v>
      </c>
      <c r="J15" s="1">
        <v>76353432347.5</v>
      </c>
      <c r="K15" s="6">
        <v>7.2000000000000008E-2</v>
      </c>
      <c r="L15" s="7">
        <f>RANK(D15,D$2:D$51)+COUNTIF(D$2:D15,D15)-1</f>
        <v>14</v>
      </c>
      <c r="M15" s="7">
        <f>RANK(H15,H$2:H$51)+COUNTIF(H$2:H15,H15)-1</f>
        <v>2</v>
      </c>
      <c r="N15" s="7">
        <f>RANK(I15,I$2:I$51)+COUNTIF(I$2:I15,I15)-1</f>
        <v>9</v>
      </c>
      <c r="O15" s="7">
        <f>RANK(J15,J$2:J$51)+COUNTIF(J$2:J15,J15)-1</f>
        <v>14</v>
      </c>
      <c r="P15" s="7">
        <f>RANK(K15,K$2:K$51)+COUNTIF(K$2:K15,K15)-1</f>
        <v>21</v>
      </c>
      <c r="Q15" s="7">
        <f t="shared" si="4"/>
        <v>4</v>
      </c>
      <c r="R15" s="7">
        <f t="shared" si="1"/>
        <v>2</v>
      </c>
      <c r="S15" s="7">
        <f t="shared" si="3"/>
        <v>4</v>
      </c>
      <c r="T15" s="7">
        <f t="shared" si="2"/>
        <v>4</v>
      </c>
      <c r="U15" s="25">
        <f>COUNTIFS($C:$C,$C15,$K:$K,"&gt;"&amp;$K15)+COUNTIFS($C$2:$C15,$C15,$K$2:$K15,$K15)</f>
        <v>6</v>
      </c>
      <c r="V15" s="7"/>
    </row>
    <row r="16" spans="1:22" x14ac:dyDescent="0.35">
      <c r="A16">
        <v>15</v>
      </c>
      <c r="B16" s="2" t="s">
        <v>33</v>
      </c>
      <c r="C16" s="2" t="str">
        <f>VLOOKUP(B16,States!$D$2:$E$51,2,0)</f>
        <v>The West</v>
      </c>
      <c r="D16" s="3">
        <v>6553255</v>
      </c>
      <c r="E16" s="3">
        <v>6392017</v>
      </c>
      <c r="F16" s="3">
        <v>5130632</v>
      </c>
      <c r="G16" s="2">
        <v>2.0400000000000001E-2</v>
      </c>
      <c r="H16" s="4">
        <v>57.05</v>
      </c>
      <c r="I16" s="5">
        <v>34850436000</v>
      </c>
      <c r="J16" s="1">
        <v>74526795210</v>
      </c>
      <c r="K16" s="6">
        <v>8.199999999999999E-2</v>
      </c>
      <c r="L16" s="7">
        <f>RANK(D16,D$2:D$51)+COUNTIF(D$2:D16,D16)-1</f>
        <v>15</v>
      </c>
      <c r="M16" s="7">
        <f>RANK(H16,H$2:H$51)+COUNTIF(H$2:H16,H16)-1</f>
        <v>33</v>
      </c>
      <c r="N16" s="7">
        <f>RANK(I16,I$2:I$51)+COUNTIF(I$2:I16,I16)-1</f>
        <v>23</v>
      </c>
      <c r="O16" s="7">
        <f>RANK(J16,J$2:J$51)+COUNTIF(J$2:J16,J16)-1</f>
        <v>16</v>
      </c>
      <c r="P16" s="7">
        <f>RANK(K16,K$2:K$51)+COUNTIF(K$2:K16,K16)-1</f>
        <v>10</v>
      </c>
      <c r="Q16" s="7">
        <f t="shared" si="4"/>
        <v>3</v>
      </c>
      <c r="R16" s="7">
        <f t="shared" si="1"/>
        <v>4</v>
      </c>
      <c r="S16" s="7">
        <f t="shared" si="3"/>
        <v>4</v>
      </c>
      <c r="T16" s="7">
        <f t="shared" si="2"/>
        <v>4</v>
      </c>
      <c r="U16" s="25">
        <f>COUNTIFS($C:$C,$C16,$K:$K,"&gt;"&amp;$K16)+COUNTIFS($C$2:$C16,$C16,$K$2:$K16,$K16)</f>
        <v>3</v>
      </c>
      <c r="V16" s="7"/>
    </row>
    <row r="17" spans="1:22" x14ac:dyDescent="0.35">
      <c r="A17">
        <v>16</v>
      </c>
      <c r="B17" s="2" t="s">
        <v>34</v>
      </c>
      <c r="C17" s="2" t="str">
        <f>VLOOKUP(B17,States!$D$2:$E$51,2,0)</f>
        <v>The Mid-West</v>
      </c>
      <c r="D17" s="3">
        <v>6537334</v>
      </c>
      <c r="E17" s="3">
        <v>6483802</v>
      </c>
      <c r="F17" s="3">
        <v>6080485</v>
      </c>
      <c r="G17" s="2">
        <v>2.07E-2</v>
      </c>
      <c r="H17" s="4">
        <v>182.5</v>
      </c>
      <c r="I17" s="5">
        <v>51238512000</v>
      </c>
      <c r="J17" s="1">
        <v>75622777492.5</v>
      </c>
      <c r="K17" s="6">
        <v>7.4999999999999997E-2</v>
      </c>
      <c r="L17" s="7">
        <f>RANK(D17,D$2:D$51)+COUNTIF(D$2:D17,D17)-1</f>
        <v>16</v>
      </c>
      <c r="M17" s="7">
        <f>RANK(H17,H$2:H$51)+COUNTIF(H$2:H17,H17)-1</f>
        <v>15</v>
      </c>
      <c r="N17" s="7">
        <f>RANK(I17,I$2:I$51)+COUNTIF(I$2:I17,I17)-1</f>
        <v>16</v>
      </c>
      <c r="O17" s="7">
        <f>RANK(J17,J$2:J$51)+COUNTIF(J$2:J17,J17)-1</f>
        <v>15</v>
      </c>
      <c r="P17" s="7">
        <f>RANK(K17,K$2:K$51)+COUNTIF(K$2:K17,K17)-1</f>
        <v>18</v>
      </c>
      <c r="Q17" s="7">
        <f t="shared" si="4"/>
        <v>4</v>
      </c>
      <c r="R17" s="7">
        <f t="shared" si="1"/>
        <v>3</v>
      </c>
      <c r="S17" s="7">
        <f t="shared" si="3"/>
        <v>5</v>
      </c>
      <c r="T17" s="7">
        <f t="shared" si="2"/>
        <v>5</v>
      </c>
      <c r="U17" s="25">
        <f>COUNTIFS($C:$C,$C17,$K:$K,"&gt;"&amp;$K17)+COUNTIFS($C$2:$C17,$C17,$K$2:$K17,$K17)</f>
        <v>4</v>
      </c>
      <c r="V17" s="7"/>
    </row>
    <row r="18" spans="1:22" x14ac:dyDescent="0.35">
      <c r="A18">
        <v>17</v>
      </c>
      <c r="B18" s="2" t="s">
        <v>35</v>
      </c>
      <c r="C18" s="2" t="str">
        <f>VLOOKUP(B18,States!$D$2:$E$51,2,0)</f>
        <v>The South</v>
      </c>
      <c r="D18" s="3">
        <v>6456243</v>
      </c>
      <c r="E18" s="3">
        <v>6346105</v>
      </c>
      <c r="F18" s="3">
        <v>5689283</v>
      </c>
      <c r="G18" s="2">
        <v>2.0299999999999999E-2</v>
      </c>
      <c r="H18" s="4">
        <v>156.6</v>
      </c>
      <c r="I18" s="5">
        <v>47010303000</v>
      </c>
      <c r="J18" s="1">
        <v>74161467782.5</v>
      </c>
      <c r="K18" s="6">
        <v>8.4000000000000005E-2</v>
      </c>
      <c r="L18" s="7">
        <f>RANK(D18,D$2:D$51)+COUNTIF(D$2:D18,D18)-1</f>
        <v>17</v>
      </c>
      <c r="M18" s="7">
        <f>RANK(H18,H$2:H$51)+COUNTIF(H$2:H18,H18)-1</f>
        <v>19</v>
      </c>
      <c r="N18" s="7">
        <f>RANK(I18,I$2:I$51)+COUNTIF(I$2:I18,I18)-1</f>
        <v>20</v>
      </c>
      <c r="O18" s="7">
        <f>RANK(J18,J$2:J$51)+COUNTIF(J$2:J18,J18)-1</f>
        <v>17</v>
      </c>
      <c r="P18" s="7">
        <f>RANK(K18,K$2:K$51)+COUNTIF(K$2:K18,K18)-1</f>
        <v>8</v>
      </c>
      <c r="Q18" s="7">
        <f t="shared" si="4"/>
        <v>6</v>
      </c>
      <c r="R18" s="7">
        <f t="shared" si="1"/>
        <v>6</v>
      </c>
      <c r="S18" s="7">
        <f t="shared" si="3"/>
        <v>6</v>
      </c>
      <c r="T18" s="7">
        <f t="shared" si="2"/>
        <v>6</v>
      </c>
      <c r="U18" s="25">
        <f>COUNTIFS($C:$C,$C18,$K:$K,"&gt;"&amp;$K18)+COUNTIFS($C$2:$C18,$C18,$K$2:$K18,$K18)</f>
        <v>2</v>
      </c>
      <c r="V18" s="7"/>
    </row>
    <row r="19" spans="1:22" x14ac:dyDescent="0.35">
      <c r="A19">
        <v>18</v>
      </c>
      <c r="B19" s="2" t="s">
        <v>36</v>
      </c>
      <c r="C19" s="2" t="str">
        <f>VLOOKUP(B19,States!$D$2:$E$51,2,0)</f>
        <v>The Mid-West</v>
      </c>
      <c r="D19" s="3">
        <v>6021988</v>
      </c>
      <c r="E19" s="3">
        <v>5988927</v>
      </c>
      <c r="F19" s="3">
        <v>5595211</v>
      </c>
      <c r="G19" s="2">
        <v>1.9099999999999999E-2</v>
      </c>
      <c r="H19" s="4">
        <v>87.26</v>
      </c>
      <c r="I19" s="5">
        <v>48413247000</v>
      </c>
      <c r="J19" s="1">
        <v>69777538652.5</v>
      </c>
      <c r="K19" s="6">
        <v>6.5000000000000002E-2</v>
      </c>
      <c r="L19" s="7">
        <f>RANK(D19,D$2:D$51)+COUNTIF(D$2:D19,D19)-1</f>
        <v>18</v>
      </c>
      <c r="M19" s="7">
        <f>RANK(H19,H$2:H$51)+COUNTIF(H$2:H19,H19)-1</f>
        <v>28</v>
      </c>
      <c r="N19" s="7">
        <f>RANK(I19,I$2:I$51)+COUNTIF(I$2:I19,I19)-1</f>
        <v>17</v>
      </c>
      <c r="O19" s="7">
        <f>RANK(J19,J$2:J$51)+COUNTIF(J$2:J19,J19)-1</f>
        <v>18</v>
      </c>
      <c r="P19" s="7">
        <f>RANK(K19,K$2:K$51)+COUNTIF(K$2:K19,K19)-1</f>
        <v>30</v>
      </c>
      <c r="Q19" s="7">
        <f t="shared" si="4"/>
        <v>5</v>
      </c>
      <c r="R19" s="7">
        <f t="shared" si="1"/>
        <v>6</v>
      </c>
      <c r="S19" s="7">
        <f t="shared" si="3"/>
        <v>6</v>
      </c>
      <c r="T19" s="7">
        <f t="shared" si="2"/>
        <v>6</v>
      </c>
      <c r="U19" s="25">
        <f>COUNTIFS($C:$C,$C19,$K:$K,"&gt;"&amp;$K19)+COUNTIFS($C$2:$C19,$C19,$K$2:$K19,$K19)</f>
        <v>5</v>
      </c>
      <c r="V19" s="7"/>
    </row>
    <row r="20" spans="1:22" x14ac:dyDescent="0.35">
      <c r="A20">
        <v>19</v>
      </c>
      <c r="B20" s="2" t="s">
        <v>37</v>
      </c>
      <c r="C20" s="2" t="str">
        <f>VLOOKUP(B20,States!$D$2:$E$51,2,0)</f>
        <v>The North-East</v>
      </c>
      <c r="D20" s="3">
        <v>5884563</v>
      </c>
      <c r="E20" s="3">
        <v>5773552</v>
      </c>
      <c r="F20" s="3">
        <v>5296486</v>
      </c>
      <c r="G20" s="2">
        <v>1.8499999999999999E-2</v>
      </c>
      <c r="H20" s="4">
        <v>606.20000000000005</v>
      </c>
      <c r="I20" s="5">
        <v>48107002000</v>
      </c>
      <c r="J20" s="1">
        <v>67585574087.5</v>
      </c>
      <c r="K20" s="6">
        <v>6.7000000000000004E-2</v>
      </c>
      <c r="L20" s="7">
        <f>RANK(D20,D$2:D$51)+COUNTIF(D$2:D20,D20)-1</f>
        <v>19</v>
      </c>
      <c r="M20" s="7">
        <f>RANK(H20,H$2:H$51)+COUNTIF(H$2:H20,H20)-1</f>
        <v>4</v>
      </c>
      <c r="N20" s="7">
        <f>RANK(I20,I$2:I$51)+COUNTIF(I$2:I20,I20)-1</f>
        <v>18</v>
      </c>
      <c r="O20" s="7">
        <f>RANK(J20,J$2:J$51)+COUNTIF(J$2:J20,J20)-1</f>
        <v>19</v>
      </c>
      <c r="P20" s="7">
        <f>RANK(K20,K$2:K$51)+COUNTIF(K$2:K20,K20)-1</f>
        <v>26</v>
      </c>
      <c r="Q20" s="7">
        <f t="shared" si="4"/>
        <v>5</v>
      </c>
      <c r="R20" s="7">
        <f t="shared" si="1"/>
        <v>4</v>
      </c>
      <c r="S20" s="7">
        <f t="shared" si="3"/>
        <v>5</v>
      </c>
      <c r="T20" s="7">
        <f t="shared" si="2"/>
        <v>5</v>
      </c>
      <c r="U20" s="25">
        <f>COUNTIFS($C:$C,$C20,$K:$K,"&gt;"&amp;$K20)+COUNTIFS($C$2:$C20,$C20,$K$2:$K20,$K20)</f>
        <v>8</v>
      </c>
      <c r="V20" s="7"/>
    </row>
    <row r="21" spans="1:22" x14ac:dyDescent="0.35">
      <c r="A21">
        <v>20</v>
      </c>
      <c r="B21" s="2" t="s">
        <v>38</v>
      </c>
      <c r="C21" s="2" t="str">
        <f>VLOOKUP(B21,States!$D$2:$E$51,2,0)</f>
        <v>The Mid-West</v>
      </c>
      <c r="D21" s="3">
        <v>5726398</v>
      </c>
      <c r="E21" s="3">
        <v>5686986</v>
      </c>
      <c r="F21" s="3">
        <v>5363675</v>
      </c>
      <c r="G21" s="2">
        <v>1.8200000000000001E-2</v>
      </c>
      <c r="H21" s="4">
        <v>105.2</v>
      </c>
      <c r="I21" s="5">
        <v>41498033000</v>
      </c>
      <c r="J21" s="1">
        <v>66489591805</v>
      </c>
      <c r="K21" s="6">
        <v>6.5000000000000002E-2</v>
      </c>
      <c r="L21" s="7">
        <f>RANK(D21,D$2:D$51)+COUNTIF(D$2:D21,D21)-1</f>
        <v>20</v>
      </c>
      <c r="M21" s="7">
        <f>RANK(H21,H$2:H$51)+COUNTIF(H$2:H21,H21)-1</f>
        <v>22</v>
      </c>
      <c r="N21" s="7">
        <f>RANK(I21,I$2:I$51)+COUNTIF(I$2:I21,I21)-1</f>
        <v>21</v>
      </c>
      <c r="O21" s="7">
        <f>RANK(J21,J$2:J$51)+COUNTIF(J$2:J21,J21)-1</f>
        <v>20</v>
      </c>
      <c r="P21" s="7">
        <f>RANK(K21,K$2:K$51)+COUNTIF(K$2:K21,K21)-1</f>
        <v>31</v>
      </c>
      <c r="Q21" s="7">
        <f t="shared" si="4"/>
        <v>6</v>
      </c>
      <c r="R21" s="7">
        <f t="shared" si="1"/>
        <v>5</v>
      </c>
      <c r="S21" s="7">
        <f t="shared" si="3"/>
        <v>7</v>
      </c>
      <c r="T21" s="7">
        <f t="shared" si="2"/>
        <v>7</v>
      </c>
      <c r="U21" s="25">
        <f>COUNTIFS($C:$C,$C21,$K:$K,"&gt;"&amp;$K21)+COUNTIFS($C$2:$C21,$C21,$K$2:$K21,$K21)</f>
        <v>6</v>
      </c>
      <c r="V21" s="7"/>
    </row>
    <row r="22" spans="1:22" x14ac:dyDescent="0.35">
      <c r="A22">
        <v>21</v>
      </c>
      <c r="B22" s="2" t="s">
        <v>39</v>
      </c>
      <c r="C22" s="2" t="str">
        <f>VLOOKUP(B22,States!$D$2:$E$51,2,0)</f>
        <v>The Mid-West</v>
      </c>
      <c r="D22" s="3">
        <v>5379139</v>
      </c>
      <c r="E22" s="3">
        <v>5303925</v>
      </c>
      <c r="F22" s="3">
        <v>4919479</v>
      </c>
      <c r="G22" s="2">
        <v>1.7000000000000001E-2</v>
      </c>
      <c r="H22" s="4">
        <v>67.14</v>
      </c>
      <c r="I22" s="5">
        <v>78685402000</v>
      </c>
      <c r="J22" s="1">
        <v>62105662675.000008</v>
      </c>
      <c r="K22" s="6">
        <v>4.8000000000000001E-2</v>
      </c>
      <c r="L22" s="7">
        <f>RANK(D22,D$2:D$51)+COUNTIF(D$2:D22,D22)-1</f>
        <v>21</v>
      </c>
      <c r="M22" s="7">
        <f>RANK(H22,H$2:H$51)+COUNTIF(H$2:H22,H22)-1</f>
        <v>31</v>
      </c>
      <c r="N22" s="7">
        <f>RANK(I22,I$2:I$51)+COUNTIF(I$2:I22,I22)-1</f>
        <v>10</v>
      </c>
      <c r="O22" s="7">
        <f>RANK(J22,J$2:J$51)+COUNTIF(J$2:J22,J22)-1</f>
        <v>21</v>
      </c>
      <c r="P22" s="7">
        <f>RANK(K22,K$2:K$51)+COUNTIF(K$2:K22,K22)-1</f>
        <v>42</v>
      </c>
      <c r="Q22" s="7">
        <f t="shared" si="4"/>
        <v>7</v>
      </c>
      <c r="R22" s="7">
        <f t="shared" si="1"/>
        <v>7</v>
      </c>
      <c r="S22" s="7">
        <f t="shared" si="3"/>
        <v>3</v>
      </c>
      <c r="T22" s="7">
        <f t="shared" si="2"/>
        <v>3</v>
      </c>
      <c r="U22" s="25">
        <f>COUNTIFS($C:$C,$C22,$K:$K,"&gt;"&amp;$K22)+COUNTIFS($C$2:$C22,$C22,$K$2:$K22,$K22)</f>
        <v>8</v>
      </c>
      <c r="V22" s="7"/>
    </row>
    <row r="23" spans="1:22" x14ac:dyDescent="0.35">
      <c r="A23">
        <v>22</v>
      </c>
      <c r="B23" s="2" t="s">
        <v>40</v>
      </c>
      <c r="C23" s="2" t="str">
        <f>VLOOKUP(B23,States!$D$2:$E$51,2,0)</f>
        <v>The West</v>
      </c>
      <c r="D23" s="3">
        <v>5187582</v>
      </c>
      <c r="E23" s="3">
        <v>5029196</v>
      </c>
      <c r="F23" s="3">
        <v>4301261</v>
      </c>
      <c r="G23" s="2">
        <v>1.61E-2</v>
      </c>
      <c r="H23" s="4">
        <v>49.33</v>
      </c>
      <c r="I23" s="5">
        <v>41252701000</v>
      </c>
      <c r="J23" s="1">
        <v>58817715827.5</v>
      </c>
      <c r="K23" s="6">
        <v>6.8000000000000005E-2</v>
      </c>
      <c r="L23" s="7">
        <f>RANK(D23,D$2:D$51)+COUNTIF(D$2:D23,D23)-1</f>
        <v>22</v>
      </c>
      <c r="M23" s="7">
        <f>RANK(H23,H$2:H$51)+COUNTIF(H$2:H23,H23)-1</f>
        <v>37</v>
      </c>
      <c r="N23" s="7">
        <f>RANK(I23,I$2:I$51)+COUNTIF(I$2:I23,I23)-1</f>
        <v>22</v>
      </c>
      <c r="O23" s="7">
        <f>RANK(J23,J$2:J$51)+COUNTIF(J$2:J23,J23)-1</f>
        <v>22</v>
      </c>
      <c r="P23" s="7">
        <f>RANK(K23,K$2:K$51)+COUNTIF(K$2:K23,K23)-1</f>
        <v>23</v>
      </c>
      <c r="Q23" s="7">
        <f t="shared" si="4"/>
        <v>4</v>
      </c>
      <c r="R23" s="7">
        <f t="shared" si="1"/>
        <v>5</v>
      </c>
      <c r="S23" s="7">
        <f t="shared" si="3"/>
        <v>3</v>
      </c>
      <c r="T23" s="7">
        <f t="shared" si="2"/>
        <v>3</v>
      </c>
      <c r="U23" s="25">
        <f>COUNTIFS($C:$C,$C23,$K:$K,"&gt;"&amp;$K23)+COUNTIFS($C$2:$C23,$C23,$K$2:$K23,$K23)</f>
        <v>6</v>
      </c>
      <c r="V23" s="7"/>
    </row>
    <row r="24" spans="1:22" x14ac:dyDescent="0.35">
      <c r="A24">
        <v>23</v>
      </c>
      <c r="B24" s="2" t="s">
        <v>41</v>
      </c>
      <c r="C24" s="2" t="str">
        <f>VLOOKUP(B24,States!$D$2:$E$51,2,0)</f>
        <v>The South</v>
      </c>
      <c r="D24" s="3">
        <v>4822023</v>
      </c>
      <c r="E24" s="3">
        <v>4779736</v>
      </c>
      <c r="F24" s="3">
        <v>4447100</v>
      </c>
      <c r="G24" s="2">
        <v>1.5299999999999999E-2</v>
      </c>
      <c r="H24" s="4">
        <v>94.65</v>
      </c>
      <c r="I24" s="5">
        <v>20882949000</v>
      </c>
      <c r="J24" s="1">
        <v>55895096407.5</v>
      </c>
      <c r="K24" s="6">
        <v>6.5000000000000002E-2</v>
      </c>
      <c r="L24" s="7">
        <f>RANK(D24,D$2:D$51)+COUNTIF(D$2:D24,D24)-1</f>
        <v>23</v>
      </c>
      <c r="M24" s="7">
        <f>RANK(H24,H$2:H$51)+COUNTIF(H$2:H24,H24)-1</f>
        <v>27</v>
      </c>
      <c r="N24" s="7">
        <f>RANK(I24,I$2:I$51)+COUNTIF(I$2:I24,I24)-1</f>
        <v>31</v>
      </c>
      <c r="O24" s="7">
        <f>RANK(J24,J$2:J$51)+COUNTIF(J$2:J24,J24)-1</f>
        <v>23</v>
      </c>
      <c r="P24" s="7">
        <f>RANK(K24,K$2:K$51)+COUNTIF(K$2:K24,K24)-1</f>
        <v>32</v>
      </c>
      <c r="Q24" s="7">
        <f t="shared" si="4"/>
        <v>7</v>
      </c>
      <c r="R24" s="7">
        <f t="shared" si="1"/>
        <v>10</v>
      </c>
      <c r="S24" s="7">
        <f t="shared" si="3"/>
        <v>11</v>
      </c>
      <c r="T24" s="7">
        <f t="shared" si="2"/>
        <v>11</v>
      </c>
      <c r="U24" s="25">
        <f>COUNTIFS($C:$C,$C24,$K:$K,"&gt;"&amp;$K24)+COUNTIFS($C$2:$C24,$C24,$K$2:$K24,$K24)</f>
        <v>9</v>
      </c>
      <c r="V24" s="7"/>
    </row>
    <row r="25" spans="1:22" x14ac:dyDescent="0.35">
      <c r="A25">
        <v>24</v>
      </c>
      <c r="B25" s="2" t="s">
        <v>42</v>
      </c>
      <c r="C25" s="2" t="str">
        <f>VLOOKUP(B25,States!$D$2:$E$51,2,0)</f>
        <v>The South</v>
      </c>
      <c r="D25" s="3">
        <v>4723723</v>
      </c>
      <c r="E25" s="3">
        <v>4625364</v>
      </c>
      <c r="F25" s="3">
        <v>4012012</v>
      </c>
      <c r="G25" s="2">
        <v>1.4800000000000001E-2</v>
      </c>
      <c r="H25" s="4">
        <v>157.1</v>
      </c>
      <c r="I25" s="5">
        <v>18557166000</v>
      </c>
      <c r="J25" s="1">
        <v>54068459270</v>
      </c>
      <c r="K25" s="6">
        <v>7.4999999999999997E-2</v>
      </c>
      <c r="L25" s="7">
        <f>RANK(D25,D$2:D$51)+COUNTIF(D$2:D25,D25)-1</f>
        <v>24</v>
      </c>
      <c r="M25" s="7">
        <f>RANK(H25,H$2:H$51)+COUNTIF(H$2:H25,H25)-1</f>
        <v>18</v>
      </c>
      <c r="N25" s="7">
        <f>RANK(I25,I$2:I$51)+COUNTIF(I$2:I25,I25)-1</f>
        <v>34</v>
      </c>
      <c r="O25" s="7">
        <f>RANK(J25,J$2:J$51)+COUNTIF(J$2:J25,J25)-1</f>
        <v>24</v>
      </c>
      <c r="P25" s="7">
        <f>RANK(K25,K$2:K$51)+COUNTIF(K$2:K25,K25)-1</f>
        <v>19</v>
      </c>
      <c r="Q25" s="7">
        <f t="shared" si="4"/>
        <v>8</v>
      </c>
      <c r="R25" s="7">
        <f t="shared" si="1"/>
        <v>5</v>
      </c>
      <c r="S25" s="7">
        <f t="shared" si="3"/>
        <v>12</v>
      </c>
      <c r="T25" s="7">
        <f t="shared" si="2"/>
        <v>12</v>
      </c>
      <c r="U25" s="25">
        <f>COUNTIFS($C:$C,$C25,$K:$K,"&gt;"&amp;$K25)+COUNTIFS($C$2:$C25,$C25,$K$2:$K25,$K25)</f>
        <v>6</v>
      </c>
      <c r="V25" s="7"/>
    </row>
    <row r="26" spans="1:22" x14ac:dyDescent="0.35">
      <c r="A26">
        <v>25</v>
      </c>
      <c r="B26" s="2" t="s">
        <v>43</v>
      </c>
      <c r="C26" s="2" t="str">
        <f>VLOOKUP(B26,States!$D$2:$E$51,2,0)</f>
        <v>The South</v>
      </c>
      <c r="D26" s="3">
        <v>4601893</v>
      </c>
      <c r="E26" s="3">
        <v>4533372</v>
      </c>
      <c r="F26" s="3">
        <v>4468976</v>
      </c>
      <c r="G26" s="2">
        <v>1.4500000000000001E-2</v>
      </c>
      <c r="H26" s="4">
        <v>105</v>
      </c>
      <c r="I26" s="5">
        <v>34811072000</v>
      </c>
      <c r="J26" s="1">
        <v>52972476987.5</v>
      </c>
      <c r="K26" s="6">
        <v>6.5000000000000002E-2</v>
      </c>
      <c r="L26" s="7">
        <f>RANK(D26,D$2:D$51)+COUNTIF(D$2:D26,D26)-1</f>
        <v>25</v>
      </c>
      <c r="M26" s="7">
        <f>RANK(H26,H$2:H$51)+COUNTIF(H$2:H26,H26)-1</f>
        <v>23</v>
      </c>
      <c r="N26" s="7">
        <f>RANK(I26,I$2:I$51)+COUNTIF(I$2:I26,I26)-1</f>
        <v>24</v>
      </c>
      <c r="O26" s="7">
        <f>RANK(J26,J$2:J$51)+COUNTIF(J$2:J26,J26)-1</f>
        <v>25</v>
      </c>
      <c r="P26" s="7">
        <f>RANK(K26,K$2:K$51)+COUNTIF(K$2:K26,K26)-1</f>
        <v>33</v>
      </c>
      <c r="Q26" s="7">
        <f t="shared" si="4"/>
        <v>9</v>
      </c>
      <c r="R26" s="7">
        <f t="shared" si="1"/>
        <v>8</v>
      </c>
      <c r="S26" s="7">
        <f t="shared" si="3"/>
        <v>7</v>
      </c>
      <c r="T26" s="7">
        <f t="shared" si="2"/>
        <v>7</v>
      </c>
      <c r="U26" s="25">
        <f>COUNTIFS($C:$C,$C26,$K:$K,"&gt;"&amp;$K26)+COUNTIFS($C$2:$C26,$C26,$K$2:$K26,$K26)</f>
        <v>10</v>
      </c>
      <c r="V26" s="7"/>
    </row>
    <row r="27" spans="1:22" x14ac:dyDescent="0.35">
      <c r="A27">
        <v>26</v>
      </c>
      <c r="B27" s="2" t="s">
        <v>44</v>
      </c>
      <c r="C27" s="2" t="str">
        <f>VLOOKUP(B27,States!$D$2:$E$51,2,0)</f>
        <v>The South</v>
      </c>
      <c r="D27" s="3">
        <v>4380415</v>
      </c>
      <c r="E27" s="3">
        <v>4339367</v>
      </c>
      <c r="F27" s="3">
        <v>4041769</v>
      </c>
      <c r="G27" s="2">
        <v>1.3899999999999999E-2</v>
      </c>
      <c r="H27" s="4">
        <v>110</v>
      </c>
      <c r="I27" s="5">
        <v>25085813000</v>
      </c>
      <c r="J27" s="1">
        <v>50780512422.5</v>
      </c>
      <c r="K27" s="6">
        <v>8.4000000000000005E-2</v>
      </c>
      <c r="L27" s="7">
        <f>RANK(D27,D$2:D$51)+COUNTIF(D$2:D27,D27)-1</f>
        <v>26</v>
      </c>
      <c r="M27" s="7">
        <f>RANK(H27,H$2:H$51)+COUNTIF(H$2:H27,H27)-1</f>
        <v>21</v>
      </c>
      <c r="N27" s="7">
        <f>RANK(I27,I$2:I$51)+COUNTIF(I$2:I27,I27)-1</f>
        <v>27</v>
      </c>
      <c r="O27" s="7">
        <f>RANK(J27,J$2:J$51)+COUNTIF(J$2:J27,J27)-1</f>
        <v>26</v>
      </c>
      <c r="P27" s="7">
        <f>RANK(K27,K$2:K$51)+COUNTIF(K$2:K27,K27)-1</f>
        <v>9</v>
      </c>
      <c r="Q27" s="7">
        <f t="shared" si="4"/>
        <v>10</v>
      </c>
      <c r="R27" s="7">
        <f t="shared" si="1"/>
        <v>7</v>
      </c>
      <c r="S27" s="7">
        <f t="shared" si="3"/>
        <v>10</v>
      </c>
      <c r="T27" s="7">
        <f t="shared" si="2"/>
        <v>10</v>
      </c>
      <c r="U27" s="25">
        <f>COUNTIFS($C:$C,$C27,$K:$K,"&gt;"&amp;$K27)+COUNTIFS($C$2:$C27,$C27,$K$2:$K27,$K27)</f>
        <v>3</v>
      </c>
      <c r="V27" s="7"/>
    </row>
    <row r="28" spans="1:22" x14ac:dyDescent="0.35">
      <c r="A28">
        <v>27</v>
      </c>
      <c r="B28" s="2" t="s">
        <v>45</v>
      </c>
      <c r="C28" s="2" t="str">
        <f>VLOOKUP(B28,States!$D$2:$E$51,2,0)</f>
        <v>The West</v>
      </c>
      <c r="D28" s="3">
        <v>3899353</v>
      </c>
      <c r="E28" s="3">
        <v>3831074</v>
      </c>
      <c r="F28" s="3">
        <v>3421399</v>
      </c>
      <c r="G28" s="2">
        <v>1.2200000000000001E-2</v>
      </c>
      <c r="H28" s="4">
        <v>40.33</v>
      </c>
      <c r="I28" s="5">
        <v>22716602000</v>
      </c>
      <c r="J28" s="1">
        <v>44569946155</v>
      </c>
      <c r="K28" s="6">
        <v>7.6999999999999999E-2</v>
      </c>
      <c r="L28" s="7">
        <f>RANK(D28,D$2:D$51)+COUNTIF(D$2:D28,D28)-1</f>
        <v>27</v>
      </c>
      <c r="M28" s="7">
        <f>RANK(H28,H$2:H$51)+COUNTIF(H$2:H28,H28)-1</f>
        <v>39</v>
      </c>
      <c r="N28" s="7">
        <f>RANK(I28,I$2:I$51)+COUNTIF(I$2:I28,I28)-1</f>
        <v>28</v>
      </c>
      <c r="O28" s="7">
        <f>RANK(J28,J$2:J$51)+COUNTIF(J$2:J28,J28)-1</f>
        <v>27</v>
      </c>
      <c r="P28" s="7">
        <f>RANK(K28,K$2:K$51)+COUNTIF(K$2:K28,K28)-1</f>
        <v>15</v>
      </c>
      <c r="Q28" s="7">
        <f t="shared" si="4"/>
        <v>5</v>
      </c>
      <c r="R28" s="7">
        <f t="shared" si="1"/>
        <v>6</v>
      </c>
      <c r="S28" s="7">
        <f t="shared" si="3"/>
        <v>5</v>
      </c>
      <c r="T28" s="7">
        <f t="shared" si="2"/>
        <v>5</v>
      </c>
      <c r="U28" s="25">
        <f>COUNTIFS($C:$C,$C28,$K:$K,"&gt;"&amp;$K28)+COUNTIFS($C$2:$C28,$C28,$K$2:$K28,$K28)</f>
        <v>4</v>
      </c>
      <c r="V28" s="7"/>
    </row>
    <row r="29" spans="1:22" x14ac:dyDescent="0.35">
      <c r="A29">
        <v>28</v>
      </c>
      <c r="B29" s="2" t="s">
        <v>46</v>
      </c>
      <c r="C29" s="2" t="str">
        <f>VLOOKUP(B29,States!$D$2:$E$51,2,0)</f>
        <v>The South</v>
      </c>
      <c r="D29" s="3">
        <v>3814820</v>
      </c>
      <c r="E29" s="3">
        <v>3751351</v>
      </c>
      <c r="F29" s="3">
        <v>3450654</v>
      </c>
      <c r="G29" s="2">
        <v>1.2E-2</v>
      </c>
      <c r="H29" s="4">
        <v>55.22</v>
      </c>
      <c r="I29" s="5">
        <v>27087264000</v>
      </c>
      <c r="J29" s="1">
        <v>43839291300</v>
      </c>
      <c r="K29" s="6">
        <v>5.5E-2</v>
      </c>
      <c r="L29" s="7">
        <f>RANK(D29,D$2:D$51)+COUNTIF(D$2:D29,D29)-1</f>
        <v>28</v>
      </c>
      <c r="M29" s="7">
        <f>RANK(H29,H$2:H$51)+COUNTIF(H$2:H29,H29)-1</f>
        <v>35</v>
      </c>
      <c r="N29" s="7">
        <f>RANK(I29,I$2:I$51)+COUNTIF(I$2:I29,I29)-1</f>
        <v>25</v>
      </c>
      <c r="O29" s="7">
        <f>RANK(J29,J$2:J$51)+COUNTIF(J$2:J29,J29)-1</f>
        <v>28</v>
      </c>
      <c r="P29" s="7">
        <f>RANK(K29,K$2:K$51)+COUNTIF(K$2:K29,K29)-1</f>
        <v>39</v>
      </c>
      <c r="Q29" s="7">
        <f t="shared" si="4"/>
        <v>11</v>
      </c>
      <c r="R29" s="7">
        <f t="shared" si="1"/>
        <v>14</v>
      </c>
      <c r="S29" s="7">
        <f t="shared" si="3"/>
        <v>8</v>
      </c>
      <c r="T29" s="7">
        <f t="shared" si="2"/>
        <v>8</v>
      </c>
      <c r="U29" s="25">
        <f>COUNTIFS($C:$C,$C29,$K:$K,"&gt;"&amp;$K29)+COUNTIFS($C$2:$C29,$C29,$K$2:$K29,$K29)</f>
        <v>14</v>
      </c>
      <c r="V29" s="7"/>
    </row>
    <row r="30" spans="1:22" x14ac:dyDescent="0.35">
      <c r="A30">
        <v>29</v>
      </c>
      <c r="B30" s="2" t="s">
        <v>47</v>
      </c>
      <c r="C30" s="2" t="str">
        <f>VLOOKUP(B30,States!$D$2:$E$51,2,0)</f>
        <v>The North-East</v>
      </c>
      <c r="D30" s="3">
        <v>3590347</v>
      </c>
      <c r="E30" s="3">
        <v>3574097</v>
      </c>
      <c r="F30" s="3">
        <v>3405565</v>
      </c>
      <c r="G30" s="2">
        <v>1.14E-2</v>
      </c>
      <c r="H30" s="4">
        <v>741.4</v>
      </c>
      <c r="I30" s="5">
        <v>47262702000</v>
      </c>
      <c r="J30" s="1">
        <v>41647326735</v>
      </c>
      <c r="K30" s="6">
        <v>7.9000000000000001E-2</v>
      </c>
      <c r="L30" s="7">
        <f>RANK(D30,D$2:D$51)+COUNTIF(D$2:D30,D30)-1</f>
        <v>29</v>
      </c>
      <c r="M30" s="7">
        <f>RANK(H30,H$2:H$51)+COUNTIF(H$2:H30,H30)-1</f>
        <v>3</v>
      </c>
      <c r="N30" s="7">
        <f>RANK(I30,I$2:I$51)+COUNTIF(I$2:I30,I30)-1</f>
        <v>19</v>
      </c>
      <c r="O30" s="7">
        <f>RANK(J30,J$2:J$51)+COUNTIF(J$2:J30,J30)-1</f>
        <v>29</v>
      </c>
      <c r="P30" s="7">
        <f>RANK(K30,K$2:K$51)+COUNTIF(K$2:K30,K30)-1</f>
        <v>13</v>
      </c>
      <c r="Q30" s="7">
        <f t="shared" si="4"/>
        <v>6</v>
      </c>
      <c r="R30" s="7">
        <f t="shared" si="1"/>
        <v>3</v>
      </c>
      <c r="S30" s="7">
        <f t="shared" si="3"/>
        <v>6</v>
      </c>
      <c r="T30" s="7">
        <f t="shared" si="2"/>
        <v>6</v>
      </c>
      <c r="U30" s="25">
        <f>COUNTIFS($C:$C,$C30,$K:$K,"&gt;"&amp;$K30)+COUNTIFS($C$2:$C30,$C30,$K$2:$K30,$K30)</f>
        <v>3</v>
      </c>
      <c r="V30" s="7"/>
    </row>
    <row r="31" spans="1:22" x14ac:dyDescent="0.35">
      <c r="A31">
        <v>30</v>
      </c>
      <c r="B31" s="2" t="s">
        <v>48</v>
      </c>
      <c r="C31" s="2" t="str">
        <f>VLOOKUP(B31,States!$D$2:$E$51,2,0)</f>
        <v>The Mid-West</v>
      </c>
      <c r="D31" s="3">
        <v>3074186</v>
      </c>
      <c r="E31" s="3">
        <v>3046355</v>
      </c>
      <c r="F31" s="3">
        <v>2926324</v>
      </c>
      <c r="G31" s="2">
        <v>9.7000000000000003E-3</v>
      </c>
      <c r="H31" s="4">
        <v>54.81</v>
      </c>
      <c r="I31" s="5">
        <v>18753596000</v>
      </c>
      <c r="J31" s="1">
        <v>35436760467.5</v>
      </c>
      <c r="K31" s="6">
        <v>4.5999999999999999E-2</v>
      </c>
      <c r="L31" s="7">
        <f>RANK(D31,D$2:D$51)+COUNTIF(D$2:D31,D31)-1</f>
        <v>30</v>
      </c>
      <c r="M31" s="7">
        <f>RANK(H31,H$2:H$51)+COUNTIF(H$2:H31,H31)-1</f>
        <v>36</v>
      </c>
      <c r="N31" s="7">
        <f>RANK(I31,I$2:I$51)+COUNTIF(I$2:I31,I31)-1</f>
        <v>33</v>
      </c>
      <c r="O31" s="7">
        <f>RANK(J31,J$2:J$51)+COUNTIF(J$2:J31,J31)-1</f>
        <v>30</v>
      </c>
      <c r="P31" s="7">
        <f>RANK(K31,K$2:K$51)+COUNTIF(K$2:K31,K31)-1</f>
        <v>43</v>
      </c>
      <c r="Q31" s="7">
        <f t="shared" si="4"/>
        <v>8</v>
      </c>
      <c r="R31" s="7">
        <f t="shared" si="1"/>
        <v>8</v>
      </c>
      <c r="S31" s="7">
        <f t="shared" si="3"/>
        <v>10</v>
      </c>
      <c r="T31" s="7">
        <f t="shared" si="2"/>
        <v>10</v>
      </c>
      <c r="U31" s="25">
        <f>COUNTIFS($C:$C,$C31,$K:$K,"&gt;"&amp;$K31)+COUNTIFS($C$2:$C31,$C31,$K$2:$K31,$K31)</f>
        <v>9</v>
      </c>
      <c r="V31" s="7"/>
    </row>
    <row r="32" spans="1:22" x14ac:dyDescent="0.35">
      <c r="A32">
        <v>31</v>
      </c>
      <c r="B32" s="2" t="s">
        <v>49</v>
      </c>
      <c r="C32" s="2" t="str">
        <f>VLOOKUP(B32,States!$D$2:$E$51,2,0)</f>
        <v>The South</v>
      </c>
      <c r="D32" s="3">
        <v>2984926</v>
      </c>
      <c r="E32" s="3">
        <v>2967297</v>
      </c>
      <c r="F32" s="3">
        <v>2844658</v>
      </c>
      <c r="G32" s="2">
        <v>9.4999999999999998E-3</v>
      </c>
      <c r="H32" s="4">
        <v>63.5</v>
      </c>
      <c r="I32" s="5">
        <v>10458549000</v>
      </c>
      <c r="J32" s="1">
        <v>34706105612.5</v>
      </c>
      <c r="K32" s="6">
        <v>8.5000000000000006E-2</v>
      </c>
      <c r="L32" s="7">
        <f>RANK(D32,D$2:D$51)+COUNTIF(D$2:D32,D32)-1</f>
        <v>31</v>
      </c>
      <c r="M32" s="7">
        <f>RANK(H32,H$2:H$51)+COUNTIF(H$2:H32,H32)-1</f>
        <v>32</v>
      </c>
      <c r="N32" s="7">
        <f>RANK(I32,I$2:I$51)+COUNTIF(I$2:I32,I32)-1</f>
        <v>38</v>
      </c>
      <c r="O32" s="7">
        <f>RANK(J32,J$2:J$51)+COUNTIF(J$2:J32,J32)-1</f>
        <v>31</v>
      </c>
      <c r="P32" s="7">
        <f>RANK(K32,K$2:K$51)+COUNTIF(K$2:K32,K32)-1</f>
        <v>6</v>
      </c>
      <c r="Q32" s="7">
        <f t="shared" si="4"/>
        <v>12</v>
      </c>
      <c r="R32" s="7">
        <f t="shared" si="1"/>
        <v>12</v>
      </c>
      <c r="S32" s="7">
        <f t="shared" si="3"/>
        <v>13</v>
      </c>
      <c r="T32" s="7">
        <f t="shared" si="2"/>
        <v>13</v>
      </c>
      <c r="U32" s="25">
        <f>COUNTIFS($C:$C,$C32,$K:$K,"&gt;"&amp;$K32)+COUNTIFS($C$2:$C32,$C32,$K$2:$K32,$K32)</f>
        <v>1</v>
      </c>
      <c r="V32" s="7"/>
    </row>
    <row r="33" spans="1:22" x14ac:dyDescent="0.35">
      <c r="A33">
        <v>32</v>
      </c>
      <c r="B33" s="2" t="s">
        <v>50</v>
      </c>
      <c r="C33" s="2" t="str">
        <f>VLOOKUP(B33,States!$D$2:$E$51,2,0)</f>
        <v>The South</v>
      </c>
      <c r="D33" s="3">
        <v>2949131</v>
      </c>
      <c r="E33" s="3">
        <v>2915918</v>
      </c>
      <c r="F33" s="3">
        <v>2673400</v>
      </c>
      <c r="G33" s="2">
        <v>9.2999999999999992E-3</v>
      </c>
      <c r="H33" s="4">
        <v>56.43</v>
      </c>
      <c r="I33" s="5">
        <v>25299832000</v>
      </c>
      <c r="J33" s="1">
        <v>33975450757.499996</v>
      </c>
      <c r="K33" s="6">
        <v>7.4999999999999997E-2</v>
      </c>
      <c r="L33" s="7">
        <f>RANK(D33,D$2:D$51)+COUNTIF(D$2:D33,D33)-1</f>
        <v>32</v>
      </c>
      <c r="M33" s="7">
        <f>RANK(H33,H$2:H$51)+COUNTIF(H$2:H33,H33)-1</f>
        <v>34</v>
      </c>
      <c r="N33" s="7">
        <f>RANK(I33,I$2:I$51)+COUNTIF(I$2:I33,I33)-1</f>
        <v>26</v>
      </c>
      <c r="O33" s="7">
        <f>RANK(J33,J$2:J$51)+COUNTIF(J$2:J33,J33)-1</f>
        <v>32</v>
      </c>
      <c r="P33" s="7">
        <f>RANK(K33,K$2:K$51)+COUNTIF(K$2:K33,K33)-1</f>
        <v>20</v>
      </c>
      <c r="Q33" s="7">
        <f t="shared" si="4"/>
        <v>13</v>
      </c>
      <c r="R33" s="7">
        <f t="shared" si="1"/>
        <v>13</v>
      </c>
      <c r="S33" s="7">
        <f t="shared" si="3"/>
        <v>9</v>
      </c>
      <c r="T33" s="7">
        <f t="shared" si="2"/>
        <v>9</v>
      </c>
      <c r="U33" s="25">
        <f>COUNTIFS($C:$C,$C33,$K:$K,"&gt;"&amp;$K33)+COUNTIFS($C$2:$C33,$C33,$K$2:$K33,$K33)</f>
        <v>7</v>
      </c>
      <c r="V33" s="7"/>
    </row>
    <row r="34" spans="1:22" x14ac:dyDescent="0.35">
      <c r="A34">
        <v>33</v>
      </c>
      <c r="B34" s="2" t="s">
        <v>51</v>
      </c>
      <c r="C34" s="2" t="str">
        <f>VLOOKUP(B34,States!$D$2:$E$51,2,0)</f>
        <v>The Mid-West</v>
      </c>
      <c r="D34" s="3">
        <v>2885905</v>
      </c>
      <c r="E34" s="3">
        <v>2853118</v>
      </c>
      <c r="F34" s="3">
        <v>2688418</v>
      </c>
      <c r="G34" s="2">
        <v>9.1000000000000004E-3</v>
      </c>
      <c r="H34" s="4">
        <v>35.090000000000003</v>
      </c>
      <c r="I34" s="5">
        <v>21904615000</v>
      </c>
      <c r="J34" s="1">
        <v>33244795902.5</v>
      </c>
      <c r="K34" s="6">
        <v>5.5999999999999994E-2</v>
      </c>
      <c r="L34" s="7">
        <f>RANK(D34,D$2:D$51)+COUNTIF(D$2:D34,D34)-1</f>
        <v>33</v>
      </c>
      <c r="M34" s="7">
        <f>RANK(H34,H$2:H$51)+COUNTIF(H$2:H34,H34)-1</f>
        <v>40</v>
      </c>
      <c r="N34" s="7">
        <f>RANK(I34,I$2:I$51)+COUNTIF(I$2:I34,I34)-1</f>
        <v>29</v>
      </c>
      <c r="O34" s="7">
        <f>RANK(J34,J$2:J$51)+COUNTIF(J$2:J34,J34)-1</f>
        <v>33</v>
      </c>
      <c r="P34" s="7">
        <f>RANK(K34,K$2:K$51)+COUNTIF(K$2:K34,K34)-1</f>
        <v>38</v>
      </c>
      <c r="Q34" s="7">
        <f t="shared" si="4"/>
        <v>9</v>
      </c>
      <c r="R34" s="7">
        <f t="shared" si="1"/>
        <v>9</v>
      </c>
      <c r="S34" s="7">
        <f t="shared" si="3"/>
        <v>8</v>
      </c>
      <c r="T34" s="7">
        <f t="shared" si="2"/>
        <v>8</v>
      </c>
      <c r="U34" s="25">
        <f>COUNTIFS($C:$C,$C34,$K:$K,"&gt;"&amp;$K34)+COUNTIFS($C$2:$C34,$C34,$K$2:$K34,$K34)</f>
        <v>7</v>
      </c>
      <c r="V34" s="7"/>
    </row>
    <row r="35" spans="1:22" x14ac:dyDescent="0.35">
      <c r="A35">
        <v>34</v>
      </c>
      <c r="B35" s="2" t="s">
        <v>52</v>
      </c>
      <c r="C35" s="2" t="str">
        <f>VLOOKUP(B35,States!$D$2:$E$51,2,0)</f>
        <v>The West</v>
      </c>
      <c r="D35" s="3">
        <v>2855287</v>
      </c>
      <c r="E35" s="3">
        <v>2763885</v>
      </c>
      <c r="F35" s="3">
        <v>2233169</v>
      </c>
      <c r="G35" s="2">
        <v>8.8000000000000005E-3</v>
      </c>
      <c r="H35" s="4">
        <v>34.299999999999997</v>
      </c>
      <c r="I35" s="5">
        <v>15642129000</v>
      </c>
      <c r="J35" s="1">
        <v>32148813620</v>
      </c>
      <c r="K35" s="6">
        <v>4.5999999999999999E-2</v>
      </c>
      <c r="L35" s="7">
        <f>RANK(D35,D$2:D$51)+COUNTIF(D$2:D35,D35)-1</f>
        <v>34</v>
      </c>
      <c r="M35" s="7">
        <f>RANK(H35,H$2:H$51)+COUNTIF(H$2:H35,H35)-1</f>
        <v>41</v>
      </c>
      <c r="N35" s="7">
        <f>RANK(I35,I$2:I$51)+COUNTIF(I$2:I35,I35)-1</f>
        <v>35</v>
      </c>
      <c r="O35" s="7">
        <f>RANK(J35,J$2:J$51)+COUNTIF(J$2:J35,J35)-1</f>
        <v>34</v>
      </c>
      <c r="P35" s="7">
        <f>RANK(K35,K$2:K$51)+COUNTIF(K$2:K35,K35)-1</f>
        <v>44</v>
      </c>
      <c r="Q35" s="7">
        <f t="shared" si="4"/>
        <v>6</v>
      </c>
      <c r="R35" s="7">
        <f t="shared" si="1"/>
        <v>7</v>
      </c>
      <c r="S35" s="7">
        <f t="shared" si="3"/>
        <v>6</v>
      </c>
      <c r="T35" s="7">
        <f t="shared" si="2"/>
        <v>6</v>
      </c>
      <c r="U35" s="25">
        <f>COUNTIFS($C:$C,$C35,$K:$K,"&gt;"&amp;$K35)+COUNTIFS($C$2:$C35,$C35,$K$2:$K35,$K35)</f>
        <v>11</v>
      </c>
      <c r="V35" s="7"/>
    </row>
    <row r="36" spans="1:22" x14ac:dyDescent="0.35">
      <c r="A36">
        <v>35</v>
      </c>
      <c r="B36" s="2" t="s">
        <v>53</v>
      </c>
      <c r="C36" s="2" t="str">
        <f>VLOOKUP(B36,States!$D$2:$E$51,2,0)</f>
        <v>The West</v>
      </c>
      <c r="D36" s="3">
        <v>2758931</v>
      </c>
      <c r="E36" s="3">
        <v>2700551</v>
      </c>
      <c r="F36" s="3">
        <v>1998257</v>
      </c>
      <c r="G36" s="2">
        <v>8.6E-3</v>
      </c>
      <c r="H36" s="4">
        <v>24.8</v>
      </c>
      <c r="I36" s="5">
        <v>13727425000</v>
      </c>
      <c r="J36" s="1">
        <v>31418158765</v>
      </c>
      <c r="K36" s="6">
        <v>9.3000000000000013E-2</v>
      </c>
      <c r="L36" s="7">
        <f>RANK(D36,D$2:D$51)+COUNTIF(D$2:D36,D36)-1</f>
        <v>35</v>
      </c>
      <c r="M36" s="7">
        <f>RANK(H36,H$2:H$51)+COUNTIF(H$2:H36,H36)-1</f>
        <v>42</v>
      </c>
      <c r="N36" s="7">
        <f>RANK(I36,I$2:I$51)+COUNTIF(I$2:I36,I36)-1</f>
        <v>36</v>
      </c>
      <c r="O36" s="7">
        <f>RANK(J36,J$2:J$51)+COUNTIF(J$2:J36,J36)-1</f>
        <v>35</v>
      </c>
      <c r="P36" s="7">
        <f>RANK(K36,K$2:K$51)+COUNTIF(K$2:K36,K36)-1</f>
        <v>1</v>
      </c>
      <c r="Q36" s="7">
        <f t="shared" si="4"/>
        <v>7</v>
      </c>
      <c r="R36" s="7">
        <f t="shared" si="1"/>
        <v>8</v>
      </c>
      <c r="S36" s="7">
        <f t="shared" si="3"/>
        <v>7</v>
      </c>
      <c r="T36" s="7">
        <f t="shared" si="2"/>
        <v>7</v>
      </c>
      <c r="U36" s="25">
        <f>COUNTIFS($C:$C,$C36,$K:$K,"&gt;"&amp;$K36)+COUNTIFS($C$2:$C36,$C36,$K$2:$K36,$K36)</f>
        <v>1</v>
      </c>
      <c r="V36" s="7"/>
    </row>
    <row r="37" spans="1:22" x14ac:dyDescent="0.35">
      <c r="A37">
        <v>36</v>
      </c>
      <c r="B37" s="2" t="s">
        <v>54</v>
      </c>
      <c r="C37" s="2" t="str">
        <f>VLOOKUP(B37,States!$D$2:$E$51,2,0)</f>
        <v>The West</v>
      </c>
      <c r="D37" s="3">
        <v>2085538</v>
      </c>
      <c r="E37" s="3">
        <v>2059179</v>
      </c>
      <c r="F37" s="3">
        <v>1819046</v>
      </c>
      <c r="G37" s="2">
        <v>6.6E-3</v>
      </c>
      <c r="H37" s="4">
        <v>17.16</v>
      </c>
      <c r="I37" s="5">
        <v>7866206000</v>
      </c>
      <c r="J37" s="1">
        <v>24111610215</v>
      </c>
      <c r="K37" s="6">
        <v>6.6000000000000003E-2</v>
      </c>
      <c r="L37" s="7">
        <f>RANK(D37,D$2:D$51)+COUNTIF(D$2:D37,D37)-1</f>
        <v>36</v>
      </c>
      <c r="M37" s="7">
        <f>RANK(H37,H$2:H$51)+COUNTIF(H$2:H37,H37)-1</f>
        <v>45</v>
      </c>
      <c r="N37" s="7">
        <f>RANK(I37,I$2:I$51)+COUNTIF(I$2:I37,I37)-1</f>
        <v>40</v>
      </c>
      <c r="O37" s="7">
        <f>RANK(J37,J$2:J$51)+COUNTIF(J$2:J37,J37)-1</f>
        <v>36</v>
      </c>
      <c r="P37" s="7">
        <f>RANK(K37,K$2:K$51)+COUNTIF(K$2:K37,K37)-1</f>
        <v>29</v>
      </c>
      <c r="Q37" s="7">
        <f t="shared" si="4"/>
        <v>8</v>
      </c>
      <c r="R37" s="7">
        <f t="shared" si="1"/>
        <v>10</v>
      </c>
      <c r="S37" s="7">
        <f t="shared" si="3"/>
        <v>8</v>
      </c>
      <c r="T37" s="7">
        <f t="shared" si="2"/>
        <v>8</v>
      </c>
      <c r="U37" s="25">
        <f>COUNTIFS($C:$C,$C37,$K:$K,"&gt;"&amp;$K37)+COUNTIFS($C$2:$C37,$C37,$K$2:$K37,$K37)</f>
        <v>8</v>
      </c>
      <c r="V37" s="7"/>
    </row>
    <row r="38" spans="1:22" x14ac:dyDescent="0.35">
      <c r="A38">
        <v>37</v>
      </c>
      <c r="B38" s="2" t="s">
        <v>55</v>
      </c>
      <c r="C38" s="2" t="str">
        <f>VLOOKUP(B38,States!$D$2:$E$51,2,0)</f>
        <v>The Mid-West</v>
      </c>
      <c r="D38" s="3">
        <v>1855525</v>
      </c>
      <c r="E38" s="3">
        <v>1826341</v>
      </c>
      <c r="F38" s="3">
        <v>1711263</v>
      </c>
      <c r="G38" s="2">
        <v>5.7999999999999996E-3</v>
      </c>
      <c r="H38" s="4">
        <v>23.97</v>
      </c>
      <c r="I38" s="5">
        <v>19795254000</v>
      </c>
      <c r="J38" s="1">
        <v>21188990795</v>
      </c>
      <c r="K38" s="6">
        <v>3.9E-2</v>
      </c>
      <c r="L38" s="7">
        <f>RANK(D38,D$2:D$51)+COUNTIF(D$2:D38,D38)-1</f>
        <v>37</v>
      </c>
      <c r="M38" s="7">
        <f>RANK(H38,H$2:H$51)+COUNTIF(H$2:H38,H38)-1</f>
        <v>43</v>
      </c>
      <c r="N38" s="7">
        <f>RANK(I38,I$2:I$51)+COUNTIF(I$2:I38,I38)-1</f>
        <v>32</v>
      </c>
      <c r="O38" s="7">
        <f>RANK(J38,J$2:J$51)+COUNTIF(J$2:J38,J38)-1</f>
        <v>38</v>
      </c>
      <c r="P38" s="7">
        <f>RANK(K38,K$2:K$51)+COUNTIF(K$2:K38,K38)-1</f>
        <v>48</v>
      </c>
      <c r="Q38" s="7">
        <f t="shared" si="4"/>
        <v>10</v>
      </c>
      <c r="R38" s="7">
        <f t="shared" si="1"/>
        <v>10</v>
      </c>
      <c r="S38" s="7">
        <f t="shared" si="3"/>
        <v>9</v>
      </c>
      <c r="T38" s="7">
        <f t="shared" si="2"/>
        <v>9</v>
      </c>
      <c r="U38" s="25">
        <f>COUNTIFS($C:$C,$C38,$K:$K,"&gt;"&amp;$K38)+COUNTIFS($C$2:$C38,$C38,$K$2:$K38,$K38)</f>
        <v>10</v>
      </c>
      <c r="V38" s="7"/>
    </row>
    <row r="39" spans="1:22" x14ac:dyDescent="0.35">
      <c r="A39">
        <v>38</v>
      </c>
      <c r="B39" s="2" t="s">
        <v>56</v>
      </c>
      <c r="C39" s="2" t="str">
        <f>VLOOKUP(B39,States!$D$2:$E$51,2,0)</f>
        <v>The South</v>
      </c>
      <c r="D39" s="3">
        <v>1855413</v>
      </c>
      <c r="E39" s="3">
        <v>1852994</v>
      </c>
      <c r="F39" s="3">
        <v>1808344</v>
      </c>
      <c r="G39" s="2">
        <v>5.8999999999999999E-3</v>
      </c>
      <c r="H39" s="4">
        <v>77.06</v>
      </c>
      <c r="I39" s="5">
        <v>6498502000</v>
      </c>
      <c r="J39" s="1">
        <v>21554318222.5</v>
      </c>
      <c r="K39" s="6">
        <v>6.2E-2</v>
      </c>
      <c r="L39" s="7">
        <f>RANK(D39,D$2:D$51)+COUNTIF(D$2:D39,D39)-1</f>
        <v>38</v>
      </c>
      <c r="M39" s="7">
        <f>RANK(H39,H$2:H$51)+COUNTIF(H$2:H39,H39)-1</f>
        <v>29</v>
      </c>
      <c r="N39" s="7">
        <f>RANK(I39,I$2:I$51)+COUNTIF(I$2:I39,I39)-1</f>
        <v>43</v>
      </c>
      <c r="O39" s="7">
        <f>RANK(J39,J$2:J$51)+COUNTIF(J$2:J39,J39)-1</f>
        <v>37</v>
      </c>
      <c r="P39" s="7">
        <f>RANK(K39,K$2:K$51)+COUNTIF(K$2:K39,K39)-1</f>
        <v>36</v>
      </c>
      <c r="Q39" s="7">
        <f t="shared" si="4"/>
        <v>14</v>
      </c>
      <c r="R39" s="7">
        <f t="shared" si="1"/>
        <v>11</v>
      </c>
      <c r="S39" s="7">
        <f t="shared" si="3"/>
        <v>14</v>
      </c>
      <c r="T39" s="7">
        <f t="shared" si="2"/>
        <v>14</v>
      </c>
      <c r="U39" s="25">
        <f>COUNTIFS($C:$C,$C39,$K:$K,"&gt;"&amp;$K39)+COUNTIFS($C$2:$C39,$C39,$K$2:$K39,$K39)</f>
        <v>12</v>
      </c>
      <c r="V39" s="7"/>
    </row>
    <row r="40" spans="1:22" x14ac:dyDescent="0.35">
      <c r="A40">
        <v>39</v>
      </c>
      <c r="B40" s="2" t="s">
        <v>57</v>
      </c>
      <c r="C40" s="2" t="str">
        <f>VLOOKUP(B40,States!$D$2:$E$51,2,0)</f>
        <v>The West</v>
      </c>
      <c r="D40" s="3">
        <v>1595728</v>
      </c>
      <c r="E40" s="3">
        <v>1567582</v>
      </c>
      <c r="F40" s="3">
        <v>1293953</v>
      </c>
      <c r="G40" s="2">
        <v>5.1000000000000004E-3</v>
      </c>
      <c r="H40" s="4">
        <v>19.5</v>
      </c>
      <c r="I40" s="5">
        <v>7622490000</v>
      </c>
      <c r="J40" s="1">
        <v>18631698802.5</v>
      </c>
      <c r="K40" s="6">
        <v>6.7000000000000004E-2</v>
      </c>
      <c r="L40" s="7">
        <f>RANK(D40,D$2:D$51)+COUNTIF(D$2:D40,D40)-1</f>
        <v>39</v>
      </c>
      <c r="M40" s="7">
        <f>RANK(H40,H$2:H$51)+COUNTIF(H$2:H40,H40)-1</f>
        <v>44</v>
      </c>
      <c r="N40" s="7">
        <f>RANK(I40,I$2:I$51)+COUNTIF(I$2:I40,I40)-1</f>
        <v>41</v>
      </c>
      <c r="O40" s="7">
        <f>RANK(J40,J$2:J$51)+COUNTIF(J$2:J40,J40)-1</f>
        <v>39</v>
      </c>
      <c r="P40" s="7">
        <f>RANK(K40,K$2:K$51)+COUNTIF(K$2:K40,K40)-1</f>
        <v>27</v>
      </c>
      <c r="Q40" s="7">
        <f t="shared" si="4"/>
        <v>9</v>
      </c>
      <c r="R40" s="7">
        <f t="shared" si="1"/>
        <v>9</v>
      </c>
      <c r="S40" s="7">
        <f t="shared" si="3"/>
        <v>9</v>
      </c>
      <c r="T40" s="7">
        <f t="shared" si="2"/>
        <v>9</v>
      </c>
      <c r="U40" s="25">
        <f>COUNTIFS($C:$C,$C40,$K:$K,"&gt;"&amp;$K40)+COUNTIFS($C$2:$C40,$C40,$K$2:$K40,$K40)</f>
        <v>7</v>
      </c>
      <c r="V40" s="7"/>
    </row>
    <row r="41" spans="1:22" x14ac:dyDescent="0.35">
      <c r="A41">
        <v>40</v>
      </c>
      <c r="B41" s="2" t="s">
        <v>58</v>
      </c>
      <c r="C41" s="2" t="str">
        <f>VLOOKUP(B41,States!$D$2:$E$51,2,0)</f>
        <v>The West</v>
      </c>
      <c r="D41" s="3">
        <v>1392313</v>
      </c>
      <c r="E41" s="3">
        <v>1360301</v>
      </c>
      <c r="F41" s="3">
        <v>1211537</v>
      </c>
      <c r="G41" s="2">
        <v>4.3E-3</v>
      </c>
      <c r="H41" s="4">
        <v>216.8</v>
      </c>
      <c r="I41" s="5">
        <v>6511578000</v>
      </c>
      <c r="J41" s="1">
        <v>15709079382.5</v>
      </c>
      <c r="K41" s="6">
        <v>4.4000000000000004E-2</v>
      </c>
      <c r="L41" s="7">
        <f>RANK(D41,D$2:D$51)+COUNTIF(D$2:D41,D41)-1</f>
        <v>40</v>
      </c>
      <c r="M41" s="7">
        <f>RANK(H41,H$2:H$51)+COUNTIF(H$2:H41,H41)-1</f>
        <v>12</v>
      </c>
      <c r="N41" s="7">
        <f>RANK(I41,I$2:I$51)+COUNTIF(I$2:I41,I41)-1</f>
        <v>42</v>
      </c>
      <c r="O41" s="7">
        <f>RANK(J41,J$2:J$51)+COUNTIF(J$2:J41,J41)-1</f>
        <v>40</v>
      </c>
      <c r="P41" s="7">
        <f>RANK(K41,K$2:K$51)+COUNTIF(K$2:K41,K41)-1</f>
        <v>47</v>
      </c>
      <c r="Q41" s="7">
        <f t="shared" si="4"/>
        <v>10</v>
      </c>
      <c r="R41" s="7">
        <f t="shared" si="1"/>
        <v>2</v>
      </c>
      <c r="S41" s="7">
        <f t="shared" si="3"/>
        <v>10</v>
      </c>
      <c r="T41" s="7">
        <f t="shared" si="2"/>
        <v>10</v>
      </c>
      <c r="U41" s="25">
        <f>COUNTIFS($C:$C,$C41,$K:$K,"&gt;"&amp;$K41)+COUNTIFS($C$2:$C41,$C41,$K$2:$K41,$K41)</f>
        <v>13</v>
      </c>
      <c r="V41" s="7"/>
    </row>
    <row r="42" spans="1:22" x14ac:dyDescent="0.35">
      <c r="A42">
        <v>41</v>
      </c>
      <c r="B42" s="2" t="s">
        <v>59</v>
      </c>
      <c r="C42" s="2" t="str">
        <f>VLOOKUP(B42,States!$D$2:$E$51,2,0)</f>
        <v>The North-East</v>
      </c>
      <c r="D42" s="3">
        <v>1329192</v>
      </c>
      <c r="E42" s="3">
        <v>1328361</v>
      </c>
      <c r="F42" s="3">
        <v>1274923</v>
      </c>
      <c r="G42" s="2">
        <v>4.1999999999999997E-3</v>
      </c>
      <c r="H42" s="4">
        <v>43.04</v>
      </c>
      <c r="I42" s="5">
        <v>6229189000</v>
      </c>
      <c r="J42" s="1">
        <v>15343751955</v>
      </c>
      <c r="K42" s="6">
        <v>6.7000000000000004E-2</v>
      </c>
      <c r="L42" s="7">
        <f>RANK(D42,D$2:D$51)+COUNTIF(D$2:D42,D42)-1</f>
        <v>41</v>
      </c>
      <c r="M42" s="7">
        <f>RANK(H42,H$2:H$51)+COUNTIF(H$2:H42,H42)-1</f>
        <v>38</v>
      </c>
      <c r="N42" s="7">
        <f>RANK(I42,I$2:I$51)+COUNTIF(I$2:I42,I42)-1</f>
        <v>44</v>
      </c>
      <c r="O42" s="7">
        <f>RANK(J42,J$2:J$51)+COUNTIF(J$2:J42,J42)-1</f>
        <v>41</v>
      </c>
      <c r="P42" s="7">
        <f>RANK(K42,K$2:K$51)+COUNTIF(K$2:K42,K42)-1</f>
        <v>28</v>
      </c>
      <c r="Q42" s="7">
        <f t="shared" si="4"/>
        <v>7</v>
      </c>
      <c r="R42" s="7">
        <f t="shared" si="1"/>
        <v>11</v>
      </c>
      <c r="S42" s="7">
        <f t="shared" si="3"/>
        <v>10</v>
      </c>
      <c r="T42" s="7">
        <f t="shared" si="2"/>
        <v>10</v>
      </c>
      <c r="U42" s="25">
        <f>COUNTIFS($C:$C,$C42,$K:$K,"&gt;"&amp;$K42)+COUNTIFS($C$2:$C42,$C42,$K$2:$K42,$K42)</f>
        <v>9</v>
      </c>
      <c r="V42" s="7"/>
    </row>
    <row r="43" spans="1:22" x14ac:dyDescent="0.35">
      <c r="A43">
        <v>42</v>
      </c>
      <c r="B43" s="2" t="s">
        <v>60</v>
      </c>
      <c r="C43" s="2" t="str">
        <f>VLOOKUP(B43,States!$D$2:$E$51,2,0)</f>
        <v>The North-East</v>
      </c>
      <c r="D43" s="3">
        <v>1320718</v>
      </c>
      <c r="E43" s="3">
        <v>1316470</v>
      </c>
      <c r="F43" s="3">
        <v>1235786</v>
      </c>
      <c r="G43" s="2">
        <v>4.1999999999999997E-3</v>
      </c>
      <c r="H43" s="4">
        <v>147</v>
      </c>
      <c r="I43" s="5">
        <v>8807691000</v>
      </c>
      <c r="J43" s="1">
        <v>15343751955</v>
      </c>
      <c r="K43" s="6">
        <v>5.0999999999999997E-2</v>
      </c>
      <c r="L43" s="7">
        <f>RANK(D43,D$2:D$51)+COUNTIF(D$2:D43,D43)-1</f>
        <v>42</v>
      </c>
      <c r="M43" s="7">
        <f>RANK(H43,H$2:H$51)+COUNTIF(H$2:H43,H43)-1</f>
        <v>20</v>
      </c>
      <c r="N43" s="7">
        <f>RANK(I43,I$2:I$51)+COUNTIF(I$2:I43,I43)-1</f>
        <v>39</v>
      </c>
      <c r="O43" s="7">
        <f>RANK(J43,J$2:J$51)+COUNTIF(J$2:J43,J43)-1</f>
        <v>42</v>
      </c>
      <c r="P43" s="7">
        <f>RANK(K43,K$2:K$51)+COUNTIF(K$2:K43,K43)-1</f>
        <v>41</v>
      </c>
      <c r="Q43" s="7">
        <f t="shared" si="4"/>
        <v>8</v>
      </c>
      <c r="R43" s="7">
        <f t="shared" si="1"/>
        <v>8</v>
      </c>
      <c r="S43" s="7">
        <f t="shared" si="3"/>
        <v>9</v>
      </c>
      <c r="T43" s="7">
        <f t="shared" si="2"/>
        <v>9</v>
      </c>
      <c r="U43" s="25">
        <f>COUNTIFS($C:$C,$C43,$K:$K,"&gt;"&amp;$K43)+COUNTIFS($C$2:$C43,$C43,$K$2:$K43,$K43)</f>
        <v>10</v>
      </c>
      <c r="V43" s="7"/>
    </row>
    <row r="44" spans="1:22" x14ac:dyDescent="0.35">
      <c r="A44">
        <v>43</v>
      </c>
      <c r="B44" s="2" t="s">
        <v>61</v>
      </c>
      <c r="C44" s="2" t="str">
        <f>VLOOKUP(B44,States!$D$2:$E$51,2,0)</f>
        <v>The North-East</v>
      </c>
      <c r="D44" s="3">
        <v>1050292</v>
      </c>
      <c r="E44" s="3">
        <v>1052567</v>
      </c>
      <c r="F44" s="3">
        <v>1048319</v>
      </c>
      <c r="G44" s="2">
        <v>3.3999999999999998E-3</v>
      </c>
      <c r="H44" s="4">
        <v>100.6</v>
      </c>
      <c r="I44" s="5">
        <v>10992338000</v>
      </c>
      <c r="J44" s="1">
        <v>12421132535</v>
      </c>
      <c r="K44" s="6">
        <v>9.1999999999999998E-2</v>
      </c>
      <c r="L44" s="7">
        <f>RANK(D44,D$2:D$51)+COUNTIF(D$2:D44,D44)-1</f>
        <v>43</v>
      </c>
      <c r="M44" s="7">
        <f>RANK(H44,H$2:H$51)+COUNTIF(H$2:H44,H44)-1</f>
        <v>25</v>
      </c>
      <c r="N44" s="7">
        <f>RANK(I44,I$2:I$51)+COUNTIF(I$2:I44,I44)-1</f>
        <v>37</v>
      </c>
      <c r="O44" s="7">
        <f>RANK(J44,J$2:J$51)+COUNTIF(J$2:J44,J44)-1</f>
        <v>43</v>
      </c>
      <c r="P44" s="7">
        <f>RANK(K44,K$2:K$51)+COUNTIF(K$2:K44,K44)-1</f>
        <v>2</v>
      </c>
      <c r="Q44" s="7">
        <f t="shared" si="4"/>
        <v>9</v>
      </c>
      <c r="R44" s="7">
        <f t="shared" si="1"/>
        <v>9</v>
      </c>
      <c r="S44" s="7">
        <f t="shared" si="3"/>
        <v>8</v>
      </c>
      <c r="T44" s="7">
        <f t="shared" si="2"/>
        <v>8</v>
      </c>
      <c r="U44" s="25">
        <f>COUNTIFS($C:$C,$C44,$K:$K,"&gt;"&amp;$K44)+COUNTIFS($C$2:$C44,$C44,$K$2:$K44,$K44)</f>
        <v>1</v>
      </c>
      <c r="V44" s="7"/>
    </row>
    <row r="45" spans="1:22" x14ac:dyDescent="0.35">
      <c r="A45">
        <v>44</v>
      </c>
      <c r="B45" s="2" t="s">
        <v>62</v>
      </c>
      <c r="C45" s="2" t="str">
        <f>VLOOKUP(B45,States!$D$2:$E$51,2,0)</f>
        <v>The West</v>
      </c>
      <c r="D45" s="3">
        <v>1005141</v>
      </c>
      <c r="E45" s="3">
        <v>989415</v>
      </c>
      <c r="F45" s="3">
        <v>902195</v>
      </c>
      <c r="G45" s="2">
        <v>3.2000000000000002E-3</v>
      </c>
      <c r="H45" s="4">
        <v>6.8579999999999997</v>
      </c>
      <c r="I45" s="5">
        <v>4383727000</v>
      </c>
      <c r="J45" s="1">
        <v>11690477680</v>
      </c>
      <c r="K45" s="6">
        <v>5.2000000000000005E-2</v>
      </c>
      <c r="L45" s="7">
        <f>RANK(D45,D$2:D$51)+COUNTIF(D$2:D45,D45)-1</f>
        <v>44</v>
      </c>
      <c r="M45" s="7">
        <f>RANK(H45,H$2:H$51)+COUNTIF(H$2:H45,H45)-1</f>
        <v>48</v>
      </c>
      <c r="N45" s="7">
        <f>RANK(I45,I$2:I$51)+COUNTIF(I$2:I45,I45)-1</f>
        <v>48</v>
      </c>
      <c r="O45" s="7">
        <f>RANK(J45,J$2:J$51)+COUNTIF(J$2:J45,J45)-1</f>
        <v>44</v>
      </c>
      <c r="P45" s="7">
        <f>RANK(K45,K$2:K$51)+COUNTIF(K$2:K45,K45)-1</f>
        <v>40</v>
      </c>
      <c r="Q45" s="7">
        <f t="shared" si="4"/>
        <v>11</v>
      </c>
      <c r="R45" s="7">
        <f t="shared" si="1"/>
        <v>11</v>
      </c>
      <c r="S45" s="7">
        <f t="shared" si="3"/>
        <v>12</v>
      </c>
      <c r="T45" s="7">
        <f t="shared" si="2"/>
        <v>12</v>
      </c>
      <c r="U45" s="25">
        <f>COUNTIFS($C:$C,$C45,$K:$K,"&gt;"&amp;$K45)+COUNTIFS($C$2:$C45,$C45,$K$2:$K45,$K45)</f>
        <v>10</v>
      </c>
      <c r="V45" s="7"/>
    </row>
    <row r="46" spans="1:22" x14ac:dyDescent="0.35">
      <c r="A46">
        <v>45</v>
      </c>
      <c r="B46" s="2" t="s">
        <v>63</v>
      </c>
      <c r="C46" s="2" t="str">
        <f>VLOOKUP(B46,States!$D$2:$E$51,2,0)</f>
        <v>The North-East</v>
      </c>
      <c r="D46" s="3">
        <v>917092</v>
      </c>
      <c r="E46" s="3">
        <v>897934</v>
      </c>
      <c r="F46" s="3">
        <v>783600</v>
      </c>
      <c r="G46" s="2">
        <v>2.8999999999999998E-3</v>
      </c>
      <c r="H46" s="4">
        <v>470.7</v>
      </c>
      <c r="I46" s="5">
        <v>21835412000</v>
      </c>
      <c r="J46" s="1">
        <v>10594495397.5</v>
      </c>
      <c r="K46" s="6">
        <v>6.8000000000000005E-2</v>
      </c>
      <c r="L46" s="7">
        <f>RANK(D46,D$2:D$51)+COUNTIF(D$2:D46,D46)-1</f>
        <v>45</v>
      </c>
      <c r="M46" s="7">
        <f>RANK(H46,H$2:H$51)+COUNTIF(H$2:H46,H46)-1</f>
        <v>5</v>
      </c>
      <c r="N46" s="7">
        <f>RANK(I46,I$2:I$51)+COUNTIF(I$2:I46,I46)-1</f>
        <v>30</v>
      </c>
      <c r="O46" s="7">
        <f>RANK(J46,J$2:J$51)+COUNTIF(J$2:J46,J46)-1</f>
        <v>45</v>
      </c>
      <c r="P46" s="7">
        <f>RANK(K46,K$2:K$51)+COUNTIF(K$2:K46,K46)-1</f>
        <v>24</v>
      </c>
      <c r="Q46" s="7">
        <f t="shared" si="4"/>
        <v>10</v>
      </c>
      <c r="R46" s="7">
        <f t="shared" si="1"/>
        <v>5</v>
      </c>
      <c r="S46" s="7">
        <f t="shared" si="3"/>
        <v>7</v>
      </c>
      <c r="T46" s="7">
        <f t="shared" si="2"/>
        <v>7</v>
      </c>
      <c r="U46" s="25">
        <f>COUNTIFS($C:$C,$C46,$K:$K,"&gt;"&amp;$K46)+COUNTIFS($C$2:$C46,$C46,$K$2:$K46,$K46)</f>
        <v>7</v>
      </c>
      <c r="V46" s="7"/>
    </row>
    <row r="47" spans="1:22" x14ac:dyDescent="0.35">
      <c r="A47">
        <v>46</v>
      </c>
      <c r="B47" s="2" t="s">
        <v>64</v>
      </c>
      <c r="C47" s="2" t="str">
        <f>VLOOKUP(B47,States!$D$2:$E$51,2,0)</f>
        <v>The Mid-West</v>
      </c>
      <c r="D47" s="3">
        <v>833354</v>
      </c>
      <c r="E47" s="3">
        <v>814180</v>
      </c>
      <c r="F47" s="3">
        <v>754844</v>
      </c>
      <c r="G47" s="2">
        <v>2.5999999999999999E-3</v>
      </c>
      <c r="H47" s="4">
        <v>10.86</v>
      </c>
      <c r="I47" s="5">
        <v>5136249000</v>
      </c>
      <c r="J47" s="1">
        <v>9498513115</v>
      </c>
      <c r="K47" s="6">
        <v>3.7000000000000005E-2</v>
      </c>
      <c r="L47" s="7">
        <f>RANK(D47,D$2:D$51)+COUNTIF(D$2:D47,D47)-1</f>
        <v>46</v>
      </c>
      <c r="M47" s="7">
        <f>RANK(H47,H$2:H$51)+COUNTIF(H$2:H47,H47)-1</f>
        <v>46</v>
      </c>
      <c r="N47" s="7">
        <f>RANK(I47,I$2:I$51)+COUNTIF(I$2:I47,I47)-1</f>
        <v>46</v>
      </c>
      <c r="O47" s="7">
        <f>RANK(J47,J$2:J$51)+COUNTIF(J$2:J47,J47)-1</f>
        <v>46</v>
      </c>
      <c r="P47" s="7">
        <f>RANK(K47,K$2:K$51)+COUNTIF(K$2:K47,K47)-1</f>
        <v>49</v>
      </c>
      <c r="Q47" s="7">
        <f t="shared" si="4"/>
        <v>11</v>
      </c>
      <c r="R47" s="7">
        <f t="shared" si="1"/>
        <v>11</v>
      </c>
      <c r="S47" s="7">
        <f t="shared" si="3"/>
        <v>12</v>
      </c>
      <c r="T47" s="7">
        <f t="shared" si="2"/>
        <v>12</v>
      </c>
      <c r="U47" s="25">
        <f>COUNTIFS($C:$C,$C47,$K:$K,"&gt;"&amp;$K47)+COUNTIFS($C$2:$C47,$C47,$K$2:$K47,$K47)</f>
        <v>11</v>
      </c>
      <c r="V47" s="7"/>
    </row>
    <row r="48" spans="1:22" x14ac:dyDescent="0.35">
      <c r="A48">
        <v>47</v>
      </c>
      <c r="B48" s="2" t="s">
        <v>65</v>
      </c>
      <c r="C48" s="2" t="str">
        <f>VLOOKUP(B48,States!$D$2:$E$51,2,0)</f>
        <v>The West</v>
      </c>
      <c r="D48" s="3">
        <v>731449</v>
      </c>
      <c r="E48" s="3">
        <v>710231</v>
      </c>
      <c r="F48" s="3">
        <v>626932</v>
      </c>
      <c r="G48" s="2">
        <v>2.3E-3</v>
      </c>
      <c r="H48" s="4">
        <v>1.264</v>
      </c>
      <c r="I48" s="5">
        <v>4898780000</v>
      </c>
      <c r="J48" s="1">
        <v>8402530832.5</v>
      </c>
      <c r="K48" s="6">
        <v>6.5000000000000002E-2</v>
      </c>
      <c r="L48" s="7">
        <f>RANK(D48,D$2:D$51)+COUNTIF(D$2:D48,D48)-1</f>
        <v>47</v>
      </c>
      <c r="M48" s="7">
        <f>RANK(H48,H$2:H$51)+COUNTIF(H$2:H48,H48)-1</f>
        <v>50</v>
      </c>
      <c r="N48" s="7">
        <f>RANK(I48,I$2:I$51)+COUNTIF(I$2:I48,I48)-1</f>
        <v>47</v>
      </c>
      <c r="O48" s="7">
        <f>RANK(J48,J$2:J$51)+COUNTIF(J$2:J48,J48)-1</f>
        <v>47</v>
      </c>
      <c r="P48" s="7">
        <f>RANK(K48,K$2:K$51)+COUNTIF(K$2:K48,K48)-1</f>
        <v>34</v>
      </c>
      <c r="Q48" s="7">
        <f t="shared" si="4"/>
        <v>12</v>
      </c>
      <c r="R48" s="7">
        <f t="shared" si="1"/>
        <v>13</v>
      </c>
      <c r="S48" s="7">
        <f t="shared" si="3"/>
        <v>11</v>
      </c>
      <c r="T48" s="7">
        <f t="shared" si="2"/>
        <v>11</v>
      </c>
      <c r="U48" s="25">
        <f>COUNTIFS($C:$C,$C48,$K:$K,"&gt;"&amp;$K48)+COUNTIFS($C$2:$C48,$C48,$K$2:$K48,$K48)</f>
        <v>9</v>
      </c>
      <c r="V48" s="7"/>
    </row>
    <row r="49" spans="1:22" x14ac:dyDescent="0.35">
      <c r="A49">
        <v>48</v>
      </c>
      <c r="B49" s="2" t="s">
        <v>66</v>
      </c>
      <c r="C49" s="2" t="str">
        <f>VLOOKUP(B49,States!$D$2:$E$51,2,0)</f>
        <v>The Mid-West</v>
      </c>
      <c r="D49" s="3">
        <v>699628</v>
      </c>
      <c r="E49" s="3">
        <v>672591</v>
      </c>
      <c r="F49" s="3">
        <v>642200</v>
      </c>
      <c r="G49" s="2">
        <v>2.0999999999999999E-3</v>
      </c>
      <c r="H49" s="4">
        <v>9.9160000000000004</v>
      </c>
      <c r="I49" s="5">
        <v>5664860000</v>
      </c>
      <c r="J49" s="1">
        <v>7671875977.5</v>
      </c>
      <c r="K49" s="6">
        <v>2.7000000000000003E-2</v>
      </c>
      <c r="L49" s="7">
        <f>RANK(D49,D$2:D$51)+COUNTIF(D$2:D49,D49)-1</f>
        <v>48</v>
      </c>
      <c r="M49" s="7">
        <f>RANK(H49,H$2:H$51)+COUNTIF(H$2:H49,H49)-1</f>
        <v>47</v>
      </c>
      <c r="N49" s="7">
        <f>RANK(I49,I$2:I$51)+COUNTIF(I$2:I49,I49)-1</f>
        <v>45</v>
      </c>
      <c r="O49" s="7">
        <f>RANK(J49,J$2:J$51)+COUNTIF(J$2:J49,J49)-1</f>
        <v>48</v>
      </c>
      <c r="P49" s="7">
        <f>RANK(K49,K$2:K$51)+COUNTIF(K$2:K49,K49)-1</f>
        <v>50</v>
      </c>
      <c r="Q49" s="7">
        <f t="shared" si="4"/>
        <v>12</v>
      </c>
      <c r="R49" s="7">
        <f t="shared" si="1"/>
        <v>12</v>
      </c>
      <c r="S49" s="7">
        <f t="shared" si="3"/>
        <v>11</v>
      </c>
      <c r="T49" s="7">
        <f t="shared" si="2"/>
        <v>11</v>
      </c>
      <c r="U49" s="25">
        <f>COUNTIFS($C:$C,$C49,$K:$K,"&gt;"&amp;$K49)+COUNTIFS($C$2:$C49,$C49,$K$2:$K49,$K49)</f>
        <v>12</v>
      </c>
      <c r="V49" s="7"/>
    </row>
    <row r="50" spans="1:22" x14ac:dyDescent="0.35">
      <c r="A50">
        <v>49</v>
      </c>
      <c r="B50" s="2" t="s">
        <v>67</v>
      </c>
      <c r="C50" s="2" t="str">
        <f>VLOOKUP(B50,States!$D$2:$E$51,2,0)</f>
        <v>The North-East</v>
      </c>
      <c r="D50" s="3">
        <v>626011</v>
      </c>
      <c r="E50" s="3">
        <v>625741</v>
      </c>
      <c r="F50" s="3">
        <v>608827</v>
      </c>
      <c r="G50" s="2">
        <v>2E-3</v>
      </c>
      <c r="H50" s="4">
        <v>67.73</v>
      </c>
      <c r="I50" s="5">
        <v>3524887000</v>
      </c>
      <c r="J50" s="1">
        <v>7306548550</v>
      </c>
      <c r="K50" s="6">
        <v>4.4999999999999998E-2</v>
      </c>
      <c r="L50" s="7">
        <f>RANK(D50,D$2:D$51)+COUNTIF(D$2:D50,D50)-1</f>
        <v>49</v>
      </c>
      <c r="M50" s="7">
        <f>RANK(H50,H$2:H$51)+COUNTIF(H$2:H50,H50)-1</f>
        <v>30</v>
      </c>
      <c r="N50" s="7">
        <f>RANK(I50,I$2:I$51)+COUNTIF(I$2:I50,I50)-1</f>
        <v>50</v>
      </c>
      <c r="O50" s="7">
        <f>RANK(J50,J$2:J$51)+COUNTIF(J$2:J50,J50)-1</f>
        <v>49</v>
      </c>
      <c r="P50" s="7">
        <f>RANK(K50,K$2:K$51)+COUNTIF(K$2:K50,K50)-1</f>
        <v>46</v>
      </c>
      <c r="Q50" s="7">
        <f t="shared" si="4"/>
        <v>11</v>
      </c>
      <c r="R50" s="7">
        <f t="shared" si="1"/>
        <v>10</v>
      </c>
      <c r="S50" s="7">
        <f t="shared" si="3"/>
        <v>11</v>
      </c>
      <c r="T50" s="7">
        <f t="shared" si="2"/>
        <v>11</v>
      </c>
      <c r="U50" s="25">
        <f>COUNTIFS($C:$C,$C50,$K:$K,"&gt;"&amp;$K50)+COUNTIFS($C$2:$C50,$C50,$K$2:$K50,$K50)</f>
        <v>11</v>
      </c>
      <c r="V50" s="7"/>
    </row>
    <row r="51" spans="1:22" x14ac:dyDescent="0.35">
      <c r="A51">
        <v>50</v>
      </c>
      <c r="B51" s="2" t="s">
        <v>68</v>
      </c>
      <c r="C51" s="2" t="str">
        <f>VLOOKUP(B51,States!$D$2:$E$51,2,0)</f>
        <v>The West</v>
      </c>
      <c r="D51" s="3">
        <v>576412</v>
      </c>
      <c r="E51" s="3">
        <v>563626</v>
      </c>
      <c r="F51" s="3">
        <v>493782</v>
      </c>
      <c r="G51" s="2">
        <v>1.8E-3</v>
      </c>
      <c r="H51" s="4">
        <v>5.851</v>
      </c>
      <c r="I51" s="5">
        <v>3828379000</v>
      </c>
      <c r="J51" s="1">
        <v>6575893695</v>
      </c>
      <c r="K51" s="6">
        <v>4.5999999999999999E-2</v>
      </c>
      <c r="L51" s="7">
        <f>RANK(D51,D$2:D$51)+COUNTIF(D$2:D51,D51)-1</f>
        <v>50</v>
      </c>
      <c r="M51" s="7">
        <f>RANK(H51,H$2:H$51)+COUNTIF(H$2:H51,H51)-1</f>
        <v>49</v>
      </c>
      <c r="N51" s="7">
        <f>RANK(I51,I$2:I$51)+COUNTIF(I$2:I51,I51)-1</f>
        <v>49</v>
      </c>
      <c r="O51" s="7">
        <f>RANK(J51,J$2:J$51)+COUNTIF(J$2:J51,J51)-1</f>
        <v>50</v>
      </c>
      <c r="P51" s="7">
        <f>RANK(K51,K$2:K$51)+COUNTIF(K$2:K51,K51)-1</f>
        <v>45</v>
      </c>
      <c r="Q51" s="7">
        <f t="shared" si="4"/>
        <v>13</v>
      </c>
      <c r="R51" s="7">
        <f t="shared" si="1"/>
        <v>12</v>
      </c>
      <c r="S51" s="7">
        <f t="shared" si="3"/>
        <v>13</v>
      </c>
      <c r="T51" s="7">
        <f t="shared" si="2"/>
        <v>13</v>
      </c>
      <c r="U51" s="25">
        <f>COUNTIFS($C:$C,$C51,$K:$K,"&gt;"&amp;$K51)+COUNTIFS($C$2:$C51,$C51,$K$2:$K51,$K51)</f>
        <v>12</v>
      </c>
      <c r="V51" s="7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</sheetPr>
  <dimension ref="A1:T61"/>
  <sheetViews>
    <sheetView tabSelected="1" workbookViewId="0">
      <selection activeCell="L61" sqref="L61"/>
    </sheetView>
  </sheetViews>
  <sheetFormatPr defaultRowHeight="14.5" x14ac:dyDescent="0.35"/>
  <cols>
    <col min="1" max="1" width="14.453125" customWidth="1"/>
    <col min="2" max="2" width="15" bestFit="1" customWidth="1"/>
    <col min="3" max="3" width="14.1796875" customWidth="1"/>
    <col min="4" max="4" width="12.7265625" customWidth="1"/>
    <col min="5" max="5" width="4.81640625" customWidth="1"/>
    <col min="6" max="6" width="14.26953125" bestFit="1" customWidth="1"/>
    <col min="7" max="7" width="14.1796875" customWidth="1"/>
    <col min="8" max="8" width="19" bestFit="1" customWidth="1"/>
    <col min="9" max="9" width="4.26953125" customWidth="1"/>
    <col min="10" max="10" width="14.26953125" bestFit="1" customWidth="1"/>
    <col min="11" max="11" width="14.1796875" customWidth="1"/>
    <col min="12" max="12" width="19" bestFit="1" customWidth="1"/>
    <col min="13" max="13" width="4.26953125" customWidth="1"/>
    <col min="14" max="14" width="14.26953125" bestFit="1" customWidth="1"/>
    <col min="15" max="15" width="14" bestFit="1" customWidth="1"/>
    <col min="16" max="16" width="19.453125" bestFit="1" customWidth="1"/>
    <col min="17" max="17" width="4.26953125" customWidth="1"/>
    <col min="18" max="18" width="14.26953125" bestFit="1" customWidth="1"/>
    <col min="19" max="19" width="14" bestFit="1" customWidth="1"/>
    <col min="20" max="20" width="16.26953125" bestFit="1" customWidth="1"/>
  </cols>
  <sheetData>
    <row r="1" spans="1:20" x14ac:dyDescent="0.35">
      <c r="A1" s="9"/>
      <c r="B1" s="18" t="s">
        <v>71</v>
      </c>
      <c r="C1" s="9"/>
      <c r="D1" s="9"/>
      <c r="E1" s="9"/>
      <c r="F1" s="18" t="s">
        <v>72</v>
      </c>
      <c r="G1" s="9"/>
      <c r="H1" s="9"/>
      <c r="I1" s="9"/>
      <c r="J1" s="18" t="s">
        <v>72</v>
      </c>
      <c r="K1" s="9"/>
      <c r="L1" s="9"/>
      <c r="M1" s="9"/>
      <c r="N1" s="18" t="s">
        <v>12</v>
      </c>
      <c r="R1" s="18" t="s">
        <v>13</v>
      </c>
      <c r="S1" s="9"/>
      <c r="T1" s="9"/>
    </row>
    <row r="2" spans="1:20" x14ac:dyDescent="0.35">
      <c r="A2" s="19" t="s">
        <v>70</v>
      </c>
      <c r="B2" s="19" t="s">
        <v>5</v>
      </c>
      <c r="C2" s="18" t="s">
        <v>4</v>
      </c>
      <c r="D2" s="19" t="s">
        <v>69</v>
      </c>
      <c r="E2" s="19"/>
      <c r="F2" s="19" t="s">
        <v>5</v>
      </c>
      <c r="G2" s="18" t="s">
        <v>4</v>
      </c>
      <c r="H2" s="19" t="s">
        <v>91</v>
      </c>
      <c r="I2" s="19"/>
      <c r="J2" s="19" t="s">
        <v>5</v>
      </c>
      <c r="K2" s="18" t="s">
        <v>4</v>
      </c>
      <c r="L2" s="19" t="s">
        <v>72</v>
      </c>
      <c r="M2" s="19"/>
      <c r="N2" s="19" t="s">
        <v>5</v>
      </c>
      <c r="O2" s="18" t="s">
        <v>4</v>
      </c>
      <c r="P2" s="19" t="s">
        <v>12</v>
      </c>
      <c r="Q2" s="19"/>
      <c r="R2" s="19" t="s">
        <v>5</v>
      </c>
      <c r="S2" s="18" t="s">
        <v>4</v>
      </c>
      <c r="T2" s="19" t="s">
        <v>13</v>
      </c>
    </row>
    <row r="3" spans="1:20" x14ac:dyDescent="0.35">
      <c r="A3">
        <v>1</v>
      </c>
      <c r="B3" t="s">
        <v>0</v>
      </c>
      <c r="C3" s="15" t="str">
        <f>INDEX(Data!$B$2:$B$51,MATCH(1,INDEX((Data!$C$2:$C$51=B3)*(Data!$Q$2:$Q$51=A3),0),0))</f>
        <v>California</v>
      </c>
      <c r="D3" s="10">
        <f>SUMPRODUCT((Data!$B$2:$B$51=C3)*(Data!$C$2:$C$51=B3)*(Data!$D$2:$D$51))</f>
        <v>38041430</v>
      </c>
      <c r="F3" t="s">
        <v>0</v>
      </c>
      <c r="G3" s="15" t="str">
        <f>INDEX(Data!$B$2:$B$51,MATCH(1,INDEX((Data!$C$2:$C$51=F3)*(Data!$R$2:$R$51=A3),0),0))</f>
        <v>California</v>
      </c>
      <c r="H3" s="10">
        <f>SUMPRODUCT((Data!$B$2:$B$51=G3)*(Data!$C$2:$C$51=F3)*(Data!$H$2:$H$51))</f>
        <v>244.2</v>
      </c>
      <c r="J3" t="s">
        <v>0</v>
      </c>
      <c r="K3" s="15" t="str">
        <f>INDEX(Data!$B$2:$B$51,MATCH(1,INDEX((Data!$C$2:$C$51=J3)*(Data!$S$2:$S$51=A3),0),0))</f>
        <v>California</v>
      </c>
      <c r="L3" s="10">
        <f>SUMPRODUCT((Data!$B$2:$B$51=K3)*(Data!$C$2:$C$51=J3)*(Data!$I$2:$I$51))</f>
        <v>292563574000</v>
      </c>
      <c r="N3" t="s">
        <v>0</v>
      </c>
      <c r="O3" s="15" t="str">
        <f>INDEX(Data!$B$2:$B$51,MATCH(1,INDEX((Data!$C$2:$C$51=N3)*(Data!$T$2:$T$51=A3),0),0))</f>
        <v>California</v>
      </c>
      <c r="P3" s="10">
        <f>SUMPRODUCT((Data!$B$2:$B$51=O3)*(Data!$C$2:$C$51=N3)*(Data!$J$2:$J$51))</f>
        <v>435914805277.5</v>
      </c>
      <c r="R3" t="s">
        <v>0</v>
      </c>
      <c r="S3" s="15" t="str">
        <f>INDEX(Data!$B$2:$B$51,MATCH(1,INDEX((Data!$C$2:$C$51=R3)*(Data!$U$2:$U$51=A3),0),0))</f>
        <v>Nevada</v>
      </c>
      <c r="T3" s="8">
        <f>SUMPRODUCT((Data!$B$2:$B$51=S3)*(Data!$C$2:$C$51=R3)*(Data!$K$2:$K$51))</f>
        <v>9.3000000000000013E-2</v>
      </c>
    </row>
    <row r="4" spans="1:20" x14ac:dyDescent="0.35">
      <c r="A4">
        <v>2</v>
      </c>
      <c r="B4" t="s">
        <v>0</v>
      </c>
      <c r="C4" s="15" t="str">
        <f>INDEX(Data!$B$2:$B$51,MATCH(1,INDEX((Data!$C$2:$C$51=B4)*(Data!$Q$2:$Q$51=A4),0),0))</f>
        <v>Washington</v>
      </c>
      <c r="D4" s="10">
        <f>SUMPRODUCT((Data!$B$2:$B$51=C4)*(Data!$C$2:$C$51=B4)*(Data!$D$2:$D$51))</f>
        <v>6897012</v>
      </c>
      <c r="F4" t="s">
        <v>0</v>
      </c>
      <c r="G4" s="15" t="str">
        <f>INDEX(Data!$B$2:$B$51,MATCH(1,INDEX((Data!$C$2:$C$51=F4)*(Data!$R$2:$R$51=A4),0),0))</f>
        <v>Hawaii</v>
      </c>
      <c r="H4" s="10">
        <f>SUMPRODUCT((Data!$B$2:$B$51=G4)*(Data!$C$2:$C$51=F4)*(Data!$H$2:$H$51))</f>
        <v>216.8</v>
      </c>
      <c r="J4" t="s">
        <v>0</v>
      </c>
      <c r="K4" s="15" t="str">
        <f>INDEX(Data!$B$2:$B$51,MATCH(1,INDEX((Data!$C$2:$C$51=J4)*(Data!$S$2:$S$51=A4),0),0))</f>
        <v>Washington</v>
      </c>
      <c r="L4" s="10">
        <f>SUMPRODUCT((Data!$B$2:$B$51=K4)*(Data!$C$2:$C$51=J4)*(Data!$I$2:$I$51))</f>
        <v>52443862000</v>
      </c>
      <c r="N4" t="s">
        <v>0</v>
      </c>
      <c r="O4" s="15" t="str">
        <f>INDEX(Data!$B$2:$B$51,MATCH(1,INDEX((Data!$C$2:$C$51=N4)*(Data!$T$2:$T$51=A4),0),0))</f>
        <v>Washington</v>
      </c>
      <c r="P4" s="10">
        <f>SUMPRODUCT((Data!$B$2:$B$51=O4)*(Data!$C$2:$C$51=N4)*(Data!$J$2:$J$51))</f>
        <v>78545396912.5</v>
      </c>
      <c r="R4" t="s">
        <v>0</v>
      </c>
      <c r="S4" s="15" t="str">
        <f>INDEX(Data!$B$2:$B$51,MATCH(1,INDEX((Data!$C$2:$C$51=R4)*(Data!$U$2:$U$51=A4),0),0))</f>
        <v>California</v>
      </c>
      <c r="T4" s="8">
        <f>SUMPRODUCT((Data!$B$2:$B$51=S4)*(Data!$C$2:$C$51=R4)*(Data!$K$2:$K$51))</f>
        <v>8.6999999999999994E-2</v>
      </c>
    </row>
    <row r="5" spans="1:20" x14ac:dyDescent="0.35">
      <c r="A5">
        <v>3</v>
      </c>
      <c r="B5" t="s">
        <v>0</v>
      </c>
      <c r="C5" s="15" t="str">
        <f>INDEX(Data!$B$2:$B$51,MATCH(1,INDEX((Data!$C$2:$C$51=B5)*(Data!$Q$2:$Q$51=A5),0),0))</f>
        <v>Arizona</v>
      </c>
      <c r="D5" s="10">
        <f>SUMPRODUCT((Data!$B$2:$B$51=C5)*(Data!$C$2:$C$51=B5)*(Data!$D$2:$D$51))</f>
        <v>6553255</v>
      </c>
      <c r="F5" t="s">
        <v>0</v>
      </c>
      <c r="G5" s="15" t="str">
        <f>INDEX(Data!$B$2:$B$51,MATCH(1,INDEX((Data!$C$2:$C$51=F5)*(Data!$R$2:$R$51=A5),0),0))</f>
        <v>Washington</v>
      </c>
      <c r="H5" s="10">
        <f>SUMPRODUCT((Data!$B$2:$B$51=G5)*(Data!$C$2:$C$51=F5)*(Data!$H$2:$H$51))</f>
        <v>102.6</v>
      </c>
      <c r="J5" t="s">
        <v>0</v>
      </c>
      <c r="K5" s="15" t="str">
        <f>INDEX(Data!$B$2:$B$51,MATCH(1,INDEX((Data!$C$2:$C$51=J5)*(Data!$S$2:$S$51=A5),0),0))</f>
        <v>Colorado</v>
      </c>
      <c r="L5" s="10">
        <f>SUMPRODUCT((Data!$B$2:$B$51=K5)*(Data!$C$2:$C$51=J5)*(Data!$I$2:$I$51))</f>
        <v>41252701000</v>
      </c>
      <c r="N5" t="s">
        <v>0</v>
      </c>
      <c r="O5" s="15" t="str">
        <f>INDEX(Data!$B$2:$B$51,MATCH(1,INDEX((Data!$C$2:$C$51=N5)*(Data!$T$2:$T$51=A5),0),0))</f>
        <v>Colorado</v>
      </c>
      <c r="P5" s="10">
        <f>SUMPRODUCT((Data!$B$2:$B$51=O5)*(Data!$C$2:$C$51=N5)*(Data!$J$2:$J$51))</f>
        <v>58817715827.5</v>
      </c>
      <c r="R5" t="s">
        <v>0</v>
      </c>
      <c r="S5" s="15" t="str">
        <f>INDEX(Data!$B$2:$B$51,MATCH(1,INDEX((Data!$C$2:$C$51=R5)*(Data!$U$2:$U$51=A5),0),0))</f>
        <v>Arizona</v>
      </c>
      <c r="T5" s="8">
        <f>SUMPRODUCT((Data!$B$2:$B$51=S5)*(Data!$C$2:$C$51=R5)*(Data!$K$2:$K$51))</f>
        <v>8.199999999999999E-2</v>
      </c>
    </row>
    <row r="6" spans="1:20" x14ac:dyDescent="0.35">
      <c r="A6">
        <v>4</v>
      </c>
      <c r="B6" t="s">
        <v>0</v>
      </c>
      <c r="C6" s="15" t="str">
        <f>INDEX(Data!$B$2:$B$51,MATCH(1,INDEX((Data!$C$2:$C$51=B6)*(Data!$Q$2:$Q$51=A6),0),0))</f>
        <v>Colorado</v>
      </c>
      <c r="D6" s="10">
        <f>SUMPRODUCT((Data!$B$2:$B$51=C6)*(Data!$C$2:$C$51=B6)*(Data!$D$2:$D$51))</f>
        <v>5187582</v>
      </c>
      <c r="F6" t="s">
        <v>0</v>
      </c>
      <c r="G6" s="15" t="str">
        <f>INDEX(Data!$B$2:$B$51,MATCH(1,INDEX((Data!$C$2:$C$51=F6)*(Data!$R$2:$R$51=A6),0),0))</f>
        <v>Arizona</v>
      </c>
      <c r="H6" s="10">
        <f>SUMPRODUCT((Data!$B$2:$B$51=G6)*(Data!$C$2:$C$51=F6)*(Data!$H$2:$H$51))</f>
        <v>57.05</v>
      </c>
      <c r="J6" t="s">
        <v>0</v>
      </c>
      <c r="K6" s="15" t="str">
        <f>INDEX(Data!$B$2:$B$51,MATCH(1,INDEX((Data!$C$2:$C$51=J6)*(Data!$S$2:$S$51=A6),0),0))</f>
        <v>Arizona</v>
      </c>
      <c r="L6" s="10">
        <f>SUMPRODUCT((Data!$B$2:$B$51=K6)*(Data!$C$2:$C$51=J6)*(Data!$I$2:$I$51))</f>
        <v>34850436000</v>
      </c>
      <c r="N6" t="s">
        <v>0</v>
      </c>
      <c r="O6" s="15" t="str">
        <f>INDEX(Data!$B$2:$B$51,MATCH(1,INDEX((Data!$C$2:$C$51=N6)*(Data!$T$2:$T$51=A6),0),0))</f>
        <v>Arizona</v>
      </c>
      <c r="P6" s="10">
        <f>SUMPRODUCT((Data!$B$2:$B$51=O6)*(Data!$C$2:$C$51=N6)*(Data!$J$2:$J$51))</f>
        <v>74526795210</v>
      </c>
      <c r="R6" t="s">
        <v>0</v>
      </c>
      <c r="S6" s="15" t="str">
        <f>INDEX(Data!$B$2:$B$51,MATCH(1,INDEX((Data!$C$2:$C$51=R6)*(Data!$U$2:$U$51=A6),0),0))</f>
        <v>Oregon</v>
      </c>
      <c r="T6" s="8">
        <f>SUMPRODUCT((Data!$B$2:$B$51=S6)*(Data!$C$2:$C$51=R6)*(Data!$K$2:$K$51))</f>
        <v>7.6999999999999999E-2</v>
      </c>
    </row>
    <row r="7" spans="1:20" x14ac:dyDescent="0.35">
      <c r="A7">
        <v>5</v>
      </c>
      <c r="B7" t="s">
        <v>0</v>
      </c>
      <c r="C7" s="15" t="str">
        <f>INDEX(Data!$B$2:$B$51,MATCH(1,INDEX((Data!$C$2:$C$51=B7)*(Data!$Q$2:$Q$51=A7),0),0))</f>
        <v>Oregon</v>
      </c>
      <c r="D7" s="10">
        <f>SUMPRODUCT((Data!$B$2:$B$51=C7)*(Data!$C$2:$C$51=B7)*(Data!$D$2:$D$51))</f>
        <v>3899353</v>
      </c>
      <c r="F7" t="s">
        <v>0</v>
      </c>
      <c r="G7" s="15" t="str">
        <f>INDEX(Data!$B$2:$B$51,MATCH(1,INDEX((Data!$C$2:$C$51=F7)*(Data!$R$2:$R$51=A7),0),0))</f>
        <v>Colorado</v>
      </c>
      <c r="H7" s="10">
        <f>SUMPRODUCT((Data!$B$2:$B$51=G7)*(Data!$C$2:$C$51=F7)*(Data!$H$2:$H$51))</f>
        <v>49.33</v>
      </c>
      <c r="J7" t="s">
        <v>0</v>
      </c>
      <c r="K7" s="15" t="str">
        <f>INDEX(Data!$B$2:$B$51,MATCH(1,INDEX((Data!$C$2:$C$51=J7)*(Data!$S$2:$S$51=A7),0),0))</f>
        <v>Oregon</v>
      </c>
      <c r="L7" s="10">
        <f>SUMPRODUCT((Data!$B$2:$B$51=K7)*(Data!$C$2:$C$51=J7)*(Data!$I$2:$I$51))</f>
        <v>22716602000</v>
      </c>
      <c r="N7" t="s">
        <v>0</v>
      </c>
      <c r="O7" s="15" t="str">
        <f>INDEX(Data!$B$2:$B$51,MATCH(1,INDEX((Data!$C$2:$C$51=N7)*(Data!$T$2:$T$51=A7),0),0))</f>
        <v>Oregon</v>
      </c>
      <c r="P7" s="10">
        <f>SUMPRODUCT((Data!$B$2:$B$51=O7)*(Data!$C$2:$C$51=N7)*(Data!$J$2:$J$51))</f>
        <v>44569946155</v>
      </c>
      <c r="R7" t="s">
        <v>0</v>
      </c>
      <c r="S7" s="15" t="str">
        <f>INDEX(Data!$B$2:$B$51,MATCH(1,INDEX((Data!$C$2:$C$51=R7)*(Data!$U$2:$U$51=A7),0),0))</f>
        <v>Washington</v>
      </c>
      <c r="T7" s="8">
        <f>SUMPRODUCT((Data!$B$2:$B$51=S7)*(Data!$C$2:$C$51=R7)*(Data!$K$2:$K$51))</f>
        <v>7.0000000000000007E-2</v>
      </c>
    </row>
    <row r="8" spans="1:20" x14ac:dyDescent="0.35">
      <c r="A8">
        <v>6</v>
      </c>
      <c r="B8" t="s">
        <v>0</v>
      </c>
      <c r="C8" s="15" t="str">
        <f>INDEX(Data!$B$2:$B$51,MATCH(1,INDEX((Data!$C$2:$C$51=B8)*(Data!$Q$2:$Q$51=A8),0),0))</f>
        <v>Utah</v>
      </c>
      <c r="D8" s="10">
        <f>SUMPRODUCT((Data!$B$2:$B$51=C8)*(Data!$C$2:$C$51=B8)*(Data!$D$2:$D$51))</f>
        <v>2855287</v>
      </c>
      <c r="F8" t="s">
        <v>0</v>
      </c>
      <c r="G8" s="15" t="str">
        <f>INDEX(Data!$B$2:$B$51,MATCH(1,INDEX((Data!$C$2:$C$51=F8)*(Data!$R$2:$R$51=A8),0),0))</f>
        <v>Oregon</v>
      </c>
      <c r="H8" s="10">
        <f>SUMPRODUCT((Data!$B$2:$B$51=G8)*(Data!$C$2:$C$51=F8)*(Data!$H$2:$H$51))</f>
        <v>40.33</v>
      </c>
      <c r="J8" t="s">
        <v>0</v>
      </c>
      <c r="K8" s="15" t="str">
        <f>INDEX(Data!$B$2:$B$51,MATCH(1,INDEX((Data!$C$2:$C$51=J8)*(Data!$S$2:$S$51=A8),0),0))</f>
        <v>Utah</v>
      </c>
      <c r="L8" s="10">
        <f>SUMPRODUCT((Data!$B$2:$B$51=K8)*(Data!$C$2:$C$51=J8)*(Data!$I$2:$I$51))</f>
        <v>15642129000</v>
      </c>
      <c r="N8" t="s">
        <v>0</v>
      </c>
      <c r="O8" s="15" t="str">
        <f>INDEX(Data!$B$2:$B$51,MATCH(1,INDEX((Data!$C$2:$C$51=N8)*(Data!$T$2:$T$51=A8),0),0))</f>
        <v>Utah</v>
      </c>
      <c r="P8" s="10">
        <f>SUMPRODUCT((Data!$B$2:$B$51=O8)*(Data!$C$2:$C$51=N8)*(Data!$J$2:$J$51))</f>
        <v>32148813620</v>
      </c>
      <c r="R8" t="s">
        <v>0</v>
      </c>
      <c r="S8" s="15" t="str">
        <f>INDEX(Data!$B$2:$B$51,MATCH(1,INDEX((Data!$C$2:$C$51=R8)*(Data!$U$2:$U$51=A8),0),0))</f>
        <v>Colorado</v>
      </c>
      <c r="T8" s="8">
        <f>SUMPRODUCT((Data!$B$2:$B$51=S8)*(Data!$C$2:$C$51=R8)*(Data!$K$2:$K$51))</f>
        <v>6.8000000000000005E-2</v>
      </c>
    </row>
    <row r="9" spans="1:20" x14ac:dyDescent="0.35">
      <c r="A9">
        <v>7</v>
      </c>
      <c r="B9" t="s">
        <v>0</v>
      </c>
      <c r="C9" s="15" t="str">
        <f>INDEX(Data!$B$2:$B$51,MATCH(1,INDEX((Data!$C$2:$C$51=B9)*(Data!$Q$2:$Q$51=A9),0),0))</f>
        <v>Nevada</v>
      </c>
      <c r="D9" s="10">
        <f>SUMPRODUCT((Data!$B$2:$B$51=C9)*(Data!$C$2:$C$51=B9)*(Data!$D$2:$D$51))</f>
        <v>2758931</v>
      </c>
      <c r="F9" t="s">
        <v>0</v>
      </c>
      <c r="G9" s="15" t="str">
        <f>INDEX(Data!$B$2:$B$51,MATCH(1,INDEX((Data!$C$2:$C$51=F9)*(Data!$R$2:$R$51=A9),0),0))</f>
        <v>Utah</v>
      </c>
      <c r="H9" s="10">
        <f>SUMPRODUCT((Data!$B$2:$B$51=G9)*(Data!$C$2:$C$51=F9)*(Data!$H$2:$H$51))</f>
        <v>34.299999999999997</v>
      </c>
      <c r="J9" t="s">
        <v>0</v>
      </c>
      <c r="K9" s="15" t="str">
        <f>INDEX(Data!$B$2:$B$51,MATCH(1,INDEX((Data!$C$2:$C$51=J9)*(Data!$S$2:$S$51=A9),0),0))</f>
        <v>Nevada</v>
      </c>
      <c r="L9" s="10">
        <f>SUMPRODUCT((Data!$B$2:$B$51=K9)*(Data!$C$2:$C$51=J9)*(Data!$I$2:$I$51))</f>
        <v>13727425000</v>
      </c>
      <c r="N9" t="s">
        <v>0</v>
      </c>
      <c r="O9" s="15" t="str">
        <f>INDEX(Data!$B$2:$B$51,MATCH(1,INDEX((Data!$C$2:$C$51=N9)*(Data!$T$2:$T$51=A9),0),0))</f>
        <v>Nevada</v>
      </c>
      <c r="P9" s="10">
        <f>SUMPRODUCT((Data!$B$2:$B$51=O9)*(Data!$C$2:$C$51=N9)*(Data!$J$2:$J$51))</f>
        <v>31418158765</v>
      </c>
      <c r="R9" t="s">
        <v>0</v>
      </c>
      <c r="S9" s="15" t="str">
        <f>INDEX(Data!$B$2:$B$51,MATCH(1,INDEX((Data!$C$2:$C$51=R9)*(Data!$U$2:$U$51=A9),0),0))</f>
        <v>Idaho</v>
      </c>
      <c r="T9" s="8">
        <f>SUMPRODUCT((Data!$B$2:$B$51=S9)*(Data!$C$2:$C$51=R9)*(Data!$K$2:$K$51))</f>
        <v>6.7000000000000004E-2</v>
      </c>
    </row>
    <row r="10" spans="1:20" x14ac:dyDescent="0.35">
      <c r="A10">
        <v>8</v>
      </c>
      <c r="B10" t="s">
        <v>0</v>
      </c>
      <c r="C10" s="15" t="str">
        <f>INDEX(Data!$B$2:$B$51,MATCH(1,INDEX((Data!$C$2:$C$51=B10)*(Data!$Q$2:$Q$51=A10),0),0))</f>
        <v>New Mexico</v>
      </c>
      <c r="D10" s="10">
        <f>SUMPRODUCT((Data!$B$2:$B$51=C10)*(Data!$C$2:$C$51=B10)*(Data!$D$2:$D$51))</f>
        <v>2085538</v>
      </c>
      <c r="F10" t="s">
        <v>0</v>
      </c>
      <c r="G10" s="15" t="str">
        <f>INDEX(Data!$B$2:$B$51,MATCH(1,INDEX((Data!$C$2:$C$51=F10)*(Data!$R$2:$R$51=A10),0),0))</f>
        <v>Nevada</v>
      </c>
      <c r="H10" s="10">
        <f>SUMPRODUCT((Data!$B$2:$B$51=G10)*(Data!$C$2:$C$51=F10)*(Data!$H$2:$H$51))</f>
        <v>24.8</v>
      </c>
      <c r="J10" t="s">
        <v>0</v>
      </c>
      <c r="K10" s="15" t="str">
        <f>INDEX(Data!$B$2:$B$51,MATCH(1,INDEX((Data!$C$2:$C$51=J10)*(Data!$S$2:$S$51=A10),0),0))</f>
        <v>New Mexico</v>
      </c>
      <c r="L10" s="10">
        <f>SUMPRODUCT((Data!$B$2:$B$51=K10)*(Data!$C$2:$C$51=J10)*(Data!$I$2:$I$51))</f>
        <v>7866206000</v>
      </c>
      <c r="N10" t="s">
        <v>0</v>
      </c>
      <c r="O10" s="15" t="str">
        <f>INDEX(Data!$B$2:$B$51,MATCH(1,INDEX((Data!$C$2:$C$51=N10)*(Data!$T$2:$T$51=A10),0),0))</f>
        <v>New Mexico</v>
      </c>
      <c r="P10" s="10">
        <f>SUMPRODUCT((Data!$B$2:$B$51=O10)*(Data!$C$2:$C$51=N10)*(Data!$J$2:$J$51))</f>
        <v>24111610215</v>
      </c>
      <c r="R10" t="s">
        <v>0</v>
      </c>
      <c r="S10" s="15" t="str">
        <f>INDEX(Data!$B$2:$B$51,MATCH(1,INDEX((Data!$C$2:$C$51=R10)*(Data!$U$2:$U$51=A10),0),0))</f>
        <v>New Mexico</v>
      </c>
      <c r="T10" s="8">
        <f>SUMPRODUCT((Data!$B$2:$B$51=S10)*(Data!$C$2:$C$51=R10)*(Data!$K$2:$K$51))</f>
        <v>6.6000000000000003E-2</v>
      </c>
    </row>
    <row r="11" spans="1:20" x14ac:dyDescent="0.35">
      <c r="A11">
        <v>9</v>
      </c>
      <c r="B11" t="s">
        <v>0</v>
      </c>
      <c r="C11" s="15" t="str">
        <f>INDEX(Data!$B$2:$B$51,MATCH(1,INDEX((Data!$C$2:$C$51=B11)*(Data!$Q$2:$Q$51=A11),0),0))</f>
        <v>Idaho</v>
      </c>
      <c r="D11" s="10">
        <f>SUMPRODUCT((Data!$B$2:$B$51=C11)*(Data!$C$2:$C$51=B11)*(Data!$D$2:$D$51))</f>
        <v>1595728</v>
      </c>
      <c r="F11" t="s">
        <v>0</v>
      </c>
      <c r="G11" s="15" t="str">
        <f>INDEX(Data!$B$2:$B$51,MATCH(1,INDEX((Data!$C$2:$C$51=F11)*(Data!$R$2:$R$51=A11),0),0))</f>
        <v>Idaho</v>
      </c>
      <c r="H11" s="10">
        <f>SUMPRODUCT((Data!$B$2:$B$51=G11)*(Data!$C$2:$C$51=F11)*(Data!$H$2:$H$51))</f>
        <v>19.5</v>
      </c>
      <c r="J11" t="s">
        <v>0</v>
      </c>
      <c r="K11" s="15" t="str">
        <f>INDEX(Data!$B$2:$B$51,MATCH(1,INDEX((Data!$C$2:$C$51=J11)*(Data!$S$2:$S$51=A11),0),0))</f>
        <v>Idaho</v>
      </c>
      <c r="L11" s="10">
        <f>SUMPRODUCT((Data!$B$2:$B$51=K11)*(Data!$C$2:$C$51=J11)*(Data!$I$2:$I$51))</f>
        <v>7622490000</v>
      </c>
      <c r="N11" t="s">
        <v>0</v>
      </c>
      <c r="O11" s="15" t="str">
        <f>INDEX(Data!$B$2:$B$51,MATCH(1,INDEX((Data!$C$2:$C$51=N11)*(Data!$T$2:$T$51=A11),0),0))</f>
        <v>Idaho</v>
      </c>
      <c r="P11" s="10">
        <f>SUMPRODUCT((Data!$B$2:$B$51=O11)*(Data!$C$2:$C$51=N11)*(Data!$J$2:$J$51))</f>
        <v>18631698802.5</v>
      </c>
      <c r="R11" t="s">
        <v>0</v>
      </c>
      <c r="S11" s="15" t="str">
        <f>INDEX(Data!$B$2:$B$51,MATCH(1,INDEX((Data!$C$2:$C$51=R11)*(Data!$U$2:$U$51=A11),0),0))</f>
        <v>Alaska</v>
      </c>
      <c r="T11" s="8">
        <f>SUMPRODUCT((Data!$B$2:$B$51=S11)*(Data!$C$2:$C$51=R11)*(Data!$K$2:$K$51))</f>
        <v>6.5000000000000002E-2</v>
      </c>
    </row>
    <row r="12" spans="1:20" x14ac:dyDescent="0.35">
      <c r="A12">
        <v>10</v>
      </c>
      <c r="B12" t="s">
        <v>0</v>
      </c>
      <c r="C12" s="15" t="str">
        <f>INDEX(Data!$B$2:$B$51,MATCH(1,INDEX((Data!$C$2:$C$51=B12)*(Data!$Q$2:$Q$51=A12),0),0))</f>
        <v>Hawaii</v>
      </c>
      <c r="D12" s="10">
        <f>SUMPRODUCT((Data!$B$2:$B$51=C12)*(Data!$C$2:$C$51=B12)*(Data!$D$2:$D$51))</f>
        <v>1392313</v>
      </c>
      <c r="F12" t="s">
        <v>0</v>
      </c>
      <c r="G12" s="15" t="str">
        <f>INDEX(Data!$B$2:$B$51,MATCH(1,INDEX((Data!$C$2:$C$51=F12)*(Data!$R$2:$R$51=A12),0),0))</f>
        <v>New Mexico</v>
      </c>
      <c r="H12" s="10">
        <f>SUMPRODUCT((Data!$B$2:$B$51=G12)*(Data!$C$2:$C$51=F12)*(Data!$H$2:$H$51))</f>
        <v>17.16</v>
      </c>
      <c r="J12" t="s">
        <v>0</v>
      </c>
      <c r="K12" s="15" t="str">
        <f>INDEX(Data!$B$2:$B$51,MATCH(1,INDEX((Data!$C$2:$C$51=J12)*(Data!$S$2:$S$51=A12),0),0))</f>
        <v>Hawaii</v>
      </c>
      <c r="L12" s="10">
        <f>SUMPRODUCT((Data!$B$2:$B$51=K12)*(Data!$C$2:$C$51=J12)*(Data!$I$2:$I$51))</f>
        <v>6511578000</v>
      </c>
      <c r="N12" t="s">
        <v>0</v>
      </c>
      <c r="O12" s="15" t="str">
        <f>INDEX(Data!$B$2:$B$51,MATCH(1,INDEX((Data!$C$2:$C$51=N12)*(Data!$T$2:$T$51=A12),0),0))</f>
        <v>Hawaii</v>
      </c>
      <c r="P12" s="10">
        <f>SUMPRODUCT((Data!$B$2:$B$51=O12)*(Data!$C$2:$C$51=N12)*(Data!$J$2:$J$51))</f>
        <v>15709079382.5</v>
      </c>
      <c r="R12" t="s">
        <v>0</v>
      </c>
      <c r="S12" s="15" t="str">
        <f>INDEX(Data!$B$2:$B$51,MATCH(1,INDEX((Data!$C$2:$C$51=R12)*(Data!$U$2:$U$51=A12),0),0))</f>
        <v>Montana</v>
      </c>
      <c r="T12" s="8">
        <f>SUMPRODUCT((Data!$B$2:$B$51=S12)*(Data!$C$2:$C$51=R12)*(Data!$K$2:$K$51))</f>
        <v>5.2000000000000005E-2</v>
      </c>
    </row>
    <row r="13" spans="1:20" x14ac:dyDescent="0.35">
      <c r="A13">
        <v>1</v>
      </c>
      <c r="B13" t="s">
        <v>1</v>
      </c>
      <c r="C13" s="15" t="str">
        <f>INDEX(Data!$B$2:$B$51,MATCH(1,INDEX((Data!$C$2:$C$51=B13)*(Data!$Q$2:$Q$51=A13),0),0))</f>
        <v>Texas</v>
      </c>
      <c r="D13" s="10">
        <f>SUMPRODUCT((Data!$B$2:$B$51=C13)*(Data!$C$2:$C$51=B13)*(Data!$D$2:$D$51))</f>
        <v>26059203</v>
      </c>
      <c r="F13" t="s">
        <v>1</v>
      </c>
      <c r="G13" s="15" t="str">
        <f>INDEX(Data!$B$2:$B$51,MATCH(1,INDEX((Data!$C$2:$C$51=F13)*(Data!$R$2:$R$51=A13),0),0))</f>
        <v>Florida</v>
      </c>
      <c r="H13" s="10">
        <f>SUMPRODUCT((Data!$B$2:$B$51=G13)*(Data!$C$2:$C$51=F13)*(Data!$H$2:$H$51))</f>
        <v>360.2</v>
      </c>
      <c r="J13" t="s">
        <v>1</v>
      </c>
      <c r="K13" s="15" t="str">
        <f>INDEX(Data!$B$2:$B$51,MATCH(1,INDEX((Data!$C$2:$C$51=J13)*(Data!$S$2:$S$51=A13),0),0))</f>
        <v>Texas</v>
      </c>
      <c r="L13" s="10">
        <f>SUMPRODUCT((Data!$B$2:$B$51=K13)*(Data!$C$2:$C$51=J13)*(Data!$I$2:$I$51))</f>
        <v>219459878000</v>
      </c>
      <c r="N13" t="s">
        <v>1</v>
      </c>
      <c r="O13" s="15" t="str">
        <f>INDEX(Data!$B$2:$B$51,MATCH(1,INDEX((Data!$C$2:$C$51=N13)*(Data!$T$2:$T$51=A13),0),0))</f>
        <v>Texas</v>
      </c>
      <c r="P13" s="10">
        <f>SUMPRODUCT((Data!$B$2:$B$51=O13)*(Data!$C$2:$C$51=N13)*(Data!$J$2:$J$51))</f>
        <v>293723251710</v>
      </c>
      <c r="R13" t="s">
        <v>1</v>
      </c>
      <c r="S13" s="15" t="str">
        <f>INDEX(Data!$B$2:$B$51,MATCH(1,INDEX((Data!$C$2:$C$51=R13)*(Data!$U$2:$U$51=A13),0),0))</f>
        <v>Mississippi</v>
      </c>
      <c r="T13" s="8">
        <f>SUMPRODUCT((Data!$B$2:$B$51=S13)*(Data!$C$2:$C$51=R13)*(Data!$K$2:$K$51))</f>
        <v>8.5000000000000006E-2</v>
      </c>
    </row>
    <row r="14" spans="1:20" x14ac:dyDescent="0.35">
      <c r="A14">
        <v>2</v>
      </c>
      <c r="B14" t="s">
        <v>1</v>
      </c>
      <c r="C14" s="15" t="str">
        <f>INDEX(Data!$B$2:$B$51,MATCH(1,INDEX((Data!$C$2:$C$51=B14)*(Data!$Q$2:$Q$51=A14),0),0))</f>
        <v>Florida</v>
      </c>
      <c r="D14" s="10">
        <f>SUMPRODUCT((Data!$B$2:$B$51=C14)*(Data!$C$2:$C$51=B14)*(Data!$D$2:$D$51))</f>
        <v>19317568</v>
      </c>
      <c r="F14" t="s">
        <v>1</v>
      </c>
      <c r="G14" s="15" t="str">
        <f>INDEX(Data!$B$2:$B$51,MATCH(1,INDEX((Data!$C$2:$C$51=F14)*(Data!$R$2:$R$51=A14),0),0))</f>
        <v>Virginia</v>
      </c>
      <c r="H14" s="10">
        <f>SUMPRODUCT((Data!$B$2:$B$51=G14)*(Data!$C$2:$C$51=F14)*(Data!$H$2:$H$51))</f>
        <v>207.3</v>
      </c>
      <c r="J14" t="s">
        <v>1</v>
      </c>
      <c r="K14" s="15" t="str">
        <f>INDEX(Data!$B$2:$B$51,MATCH(1,INDEX((Data!$C$2:$C$51=J14)*(Data!$S$2:$S$51=A14),0),0))</f>
        <v>Florida</v>
      </c>
      <c r="L14" s="10">
        <f>SUMPRODUCT((Data!$B$2:$B$51=K14)*(Data!$C$2:$C$51=J14)*(Data!$I$2:$I$51))</f>
        <v>122249635000</v>
      </c>
      <c r="N14" t="s">
        <v>1</v>
      </c>
      <c r="O14" s="15" t="str">
        <f>INDEX(Data!$B$2:$B$51,MATCH(1,INDEX((Data!$C$2:$C$51=N14)*(Data!$T$2:$T$51=A14),0),0))</f>
        <v>Florida</v>
      </c>
      <c r="P14" s="10">
        <f>SUMPRODUCT((Data!$B$2:$B$51=O14)*(Data!$C$2:$C$51=N14)*(Data!$J$2:$J$51))</f>
        <v>219561783927.5</v>
      </c>
      <c r="R14" t="s">
        <v>1</v>
      </c>
      <c r="S14" s="15" t="str">
        <f>INDEX(Data!$B$2:$B$51,MATCH(1,INDEX((Data!$C$2:$C$51=R14)*(Data!$U$2:$U$51=A14),0),0))</f>
        <v>Tennessee</v>
      </c>
      <c r="T14" s="8">
        <f>SUMPRODUCT((Data!$B$2:$B$51=S14)*(Data!$C$2:$C$51=R14)*(Data!$K$2:$K$51))</f>
        <v>8.4000000000000005E-2</v>
      </c>
    </row>
    <row r="15" spans="1:20" x14ac:dyDescent="0.35">
      <c r="A15">
        <v>3</v>
      </c>
      <c r="B15" t="s">
        <v>1</v>
      </c>
      <c r="C15" s="15" t="str">
        <f>INDEX(Data!$B$2:$B$51,MATCH(1,INDEX((Data!$C$2:$C$51=B15)*(Data!$Q$2:$Q$51=A15),0),0))</f>
        <v>Georgia</v>
      </c>
      <c r="D15" s="10">
        <f>SUMPRODUCT((Data!$B$2:$B$51=C15)*(Data!$C$2:$C$51=B15)*(Data!$D$2:$D$51))</f>
        <v>9919945</v>
      </c>
      <c r="F15" t="s">
        <v>1</v>
      </c>
      <c r="G15" s="15" t="str">
        <f>INDEX(Data!$B$2:$B$51,MATCH(1,INDEX((Data!$C$2:$C$51=F15)*(Data!$R$2:$R$51=A15),0),0))</f>
        <v>North Carolina</v>
      </c>
      <c r="H15" s="10">
        <f>SUMPRODUCT((Data!$B$2:$B$51=G15)*(Data!$C$2:$C$51=F15)*(Data!$H$2:$H$51))</f>
        <v>200.6</v>
      </c>
      <c r="J15" t="s">
        <v>1</v>
      </c>
      <c r="K15" s="15" t="str">
        <f>INDEX(Data!$B$2:$B$51,MATCH(1,INDEX((Data!$C$2:$C$51=J15)*(Data!$S$2:$S$51=A15),0),0))</f>
        <v>Georgia</v>
      </c>
      <c r="L15" s="10">
        <f>SUMPRODUCT((Data!$B$2:$B$51=K15)*(Data!$C$2:$C$51=J15)*(Data!$I$2:$I$51))</f>
        <v>65498308000</v>
      </c>
      <c r="N15" t="s">
        <v>1</v>
      </c>
      <c r="O15" s="15" t="str">
        <f>INDEX(Data!$B$2:$B$51,MATCH(1,INDEX((Data!$C$2:$C$51=N15)*(Data!$T$2:$T$51=A15),0),0))</f>
        <v>Georgia</v>
      </c>
      <c r="P15" s="10">
        <f>SUMPRODUCT((Data!$B$2:$B$51=O15)*(Data!$C$2:$C$51=N15)*(Data!$J$2:$J$51))</f>
        <v>113251502525</v>
      </c>
      <c r="R15" t="s">
        <v>1</v>
      </c>
      <c r="S15" s="15" t="str">
        <f>INDEX(Data!$B$2:$B$51,MATCH(1,INDEX((Data!$C$2:$C$51=R15)*(Data!$U$2:$U$51=A15),0),0))</f>
        <v>Kentucky</v>
      </c>
      <c r="T15" s="8">
        <f>SUMPRODUCT((Data!$B$2:$B$51=S15)*(Data!$C$2:$C$51=R15)*(Data!$K$2:$K$51))</f>
        <v>8.4000000000000005E-2</v>
      </c>
    </row>
    <row r="16" spans="1:20" x14ac:dyDescent="0.35">
      <c r="A16">
        <v>4</v>
      </c>
      <c r="B16" t="s">
        <v>1</v>
      </c>
      <c r="C16" s="15" t="str">
        <f>INDEX(Data!$B$2:$B$51,MATCH(1,INDEX((Data!$C$2:$C$51=B16)*(Data!$Q$2:$Q$51=A16),0),0))</f>
        <v>North Carolina</v>
      </c>
      <c r="D16" s="10">
        <f>SUMPRODUCT((Data!$B$2:$B$51=C16)*(Data!$C$2:$C$51=B16)*(Data!$D$2:$D$51))</f>
        <v>9752073</v>
      </c>
      <c r="F16" t="s">
        <v>1</v>
      </c>
      <c r="G16" s="15" t="str">
        <f>INDEX(Data!$B$2:$B$51,MATCH(1,INDEX((Data!$C$2:$C$51=F16)*(Data!$R$2:$R$51=A16),0),0))</f>
        <v>Georgia</v>
      </c>
      <c r="H16" s="10">
        <f>SUMPRODUCT((Data!$B$2:$B$51=G16)*(Data!$C$2:$C$51=F16)*(Data!$H$2:$H$51))</f>
        <v>172.5</v>
      </c>
      <c r="J16" t="s">
        <v>1</v>
      </c>
      <c r="K16" s="15" t="str">
        <f>INDEX(Data!$B$2:$B$51,MATCH(1,INDEX((Data!$C$2:$C$51=J16)*(Data!$S$2:$S$51=A16),0),0))</f>
        <v>Virginia</v>
      </c>
      <c r="L16" s="10">
        <f>SUMPRODUCT((Data!$B$2:$B$51=K16)*(Data!$C$2:$C$51=J16)*(Data!$I$2:$I$51))</f>
        <v>64297400000</v>
      </c>
      <c r="N16" t="s">
        <v>1</v>
      </c>
      <c r="O16" s="15" t="str">
        <f>INDEX(Data!$B$2:$B$51,MATCH(1,INDEX((Data!$C$2:$C$51=N16)*(Data!$T$2:$T$51=A16),0),0))</f>
        <v>Virginia</v>
      </c>
      <c r="P16" s="10">
        <f>SUMPRODUCT((Data!$B$2:$B$51=O16)*(Data!$C$2:$C$51=N16)*(Data!$J$2:$J$51))</f>
        <v>93523821440</v>
      </c>
      <c r="R16" t="s">
        <v>1</v>
      </c>
      <c r="S16" s="15" t="str">
        <f>INDEX(Data!$B$2:$B$51,MATCH(1,INDEX((Data!$C$2:$C$51=R16)*(Data!$U$2:$U$51=A16),0),0))</f>
        <v>Georgia</v>
      </c>
      <c r="T16" s="8">
        <f>SUMPRODUCT((Data!$B$2:$B$51=S16)*(Data!$C$2:$C$51=R16)*(Data!$K$2:$K$51))</f>
        <v>8.1000000000000003E-2</v>
      </c>
    </row>
    <row r="17" spans="1:20" x14ac:dyDescent="0.35">
      <c r="A17">
        <v>5</v>
      </c>
      <c r="B17" t="s">
        <v>1</v>
      </c>
      <c r="C17" s="15" t="str">
        <f>INDEX(Data!$B$2:$B$51,MATCH(1,INDEX((Data!$C$2:$C$51=B17)*(Data!$Q$2:$Q$51=A17),0),0))</f>
        <v>Virginia</v>
      </c>
      <c r="D17" s="10">
        <f>SUMPRODUCT((Data!$B$2:$B$51=C17)*(Data!$C$2:$C$51=B17)*(Data!$D$2:$D$51))</f>
        <v>8185867</v>
      </c>
      <c r="F17" t="s">
        <v>1</v>
      </c>
      <c r="G17" s="15" t="str">
        <f>INDEX(Data!$B$2:$B$51,MATCH(1,INDEX((Data!$C$2:$C$51=F17)*(Data!$R$2:$R$51=A17),0),0))</f>
        <v>South Carolina</v>
      </c>
      <c r="H17" s="10">
        <f>SUMPRODUCT((Data!$B$2:$B$51=G17)*(Data!$C$2:$C$51=F17)*(Data!$H$2:$H$51))</f>
        <v>157.1</v>
      </c>
      <c r="J17" t="s">
        <v>1</v>
      </c>
      <c r="K17" s="15" t="str">
        <f>INDEX(Data!$B$2:$B$51,MATCH(1,INDEX((Data!$C$2:$C$51=J17)*(Data!$S$2:$S$51=A17),0),0))</f>
        <v>North Carolina</v>
      </c>
      <c r="L17" s="10">
        <f>SUMPRODUCT((Data!$B$2:$B$51=K17)*(Data!$C$2:$C$51=J17)*(Data!$I$2:$I$51))</f>
        <v>61600064000</v>
      </c>
      <c r="N17" t="s">
        <v>1</v>
      </c>
      <c r="O17" s="15" t="str">
        <f>INDEX(Data!$B$2:$B$51,MATCH(1,INDEX((Data!$C$2:$C$51=N17)*(Data!$T$2:$T$51=A17),0),0))</f>
        <v>North Carolina</v>
      </c>
      <c r="P17" s="10">
        <f>SUMPRODUCT((Data!$B$2:$B$51=O17)*(Data!$C$2:$C$51=N17)*(Data!$J$2:$J$51))</f>
        <v>111424865387.5</v>
      </c>
      <c r="R17" t="s">
        <v>1</v>
      </c>
      <c r="S17" s="15" t="str">
        <f>INDEX(Data!$B$2:$B$51,MATCH(1,INDEX((Data!$C$2:$C$51=R17)*(Data!$U$2:$U$51=A17),0),0))</f>
        <v>North Carolina</v>
      </c>
      <c r="T17" s="8">
        <f>SUMPRODUCT((Data!$B$2:$B$51=S17)*(Data!$C$2:$C$51=R17)*(Data!$K$2:$K$51))</f>
        <v>0.08</v>
      </c>
    </row>
    <row r="18" spans="1:20" x14ac:dyDescent="0.35">
      <c r="A18">
        <v>6</v>
      </c>
      <c r="B18" t="s">
        <v>1</v>
      </c>
      <c r="C18" s="15" t="str">
        <f>INDEX(Data!$B$2:$B$51,MATCH(1,INDEX((Data!$C$2:$C$51=B18)*(Data!$Q$2:$Q$51=A18),0),0))</f>
        <v>Tennessee</v>
      </c>
      <c r="D18" s="10">
        <f>SUMPRODUCT((Data!$B$2:$B$51=C18)*(Data!$C$2:$C$51=B18)*(Data!$D$2:$D$51))</f>
        <v>6456243</v>
      </c>
      <c r="F18" t="s">
        <v>1</v>
      </c>
      <c r="G18" s="15" t="str">
        <f>INDEX(Data!$B$2:$B$51,MATCH(1,INDEX((Data!$C$2:$C$51=F18)*(Data!$R$2:$R$51=A18),0),0))</f>
        <v>Tennessee</v>
      </c>
      <c r="H18" s="10">
        <f>SUMPRODUCT((Data!$B$2:$B$51=G18)*(Data!$C$2:$C$51=F18)*(Data!$H$2:$H$51))</f>
        <v>156.6</v>
      </c>
      <c r="J18" t="s">
        <v>1</v>
      </c>
      <c r="K18" s="15" t="str">
        <f>INDEX(Data!$B$2:$B$51,MATCH(1,INDEX((Data!$C$2:$C$51=J18)*(Data!$S$2:$S$51=A18),0),0))</f>
        <v>Tennessee</v>
      </c>
      <c r="L18" s="10">
        <f>SUMPRODUCT((Data!$B$2:$B$51=K18)*(Data!$C$2:$C$51=J18)*(Data!$I$2:$I$51))</f>
        <v>47010303000</v>
      </c>
      <c r="N18" t="s">
        <v>1</v>
      </c>
      <c r="O18" s="15" t="str">
        <f>INDEX(Data!$B$2:$B$51,MATCH(1,INDEX((Data!$C$2:$C$51=N18)*(Data!$T$2:$T$51=A18),0),0))</f>
        <v>Tennessee</v>
      </c>
      <c r="P18" s="10">
        <f>SUMPRODUCT((Data!$B$2:$B$51=O18)*(Data!$C$2:$C$51=N18)*(Data!$J$2:$J$51))</f>
        <v>74161467782.5</v>
      </c>
      <c r="R18" t="s">
        <v>1</v>
      </c>
      <c r="S18" s="15" t="str">
        <f>INDEX(Data!$B$2:$B$51,MATCH(1,INDEX((Data!$C$2:$C$51=R18)*(Data!$U$2:$U$51=A18),0),0))</f>
        <v>South Carolina</v>
      </c>
      <c r="T18" s="8">
        <f>SUMPRODUCT((Data!$B$2:$B$51=S18)*(Data!$C$2:$C$51=R18)*(Data!$K$2:$K$51))</f>
        <v>7.4999999999999997E-2</v>
      </c>
    </row>
    <row r="19" spans="1:20" x14ac:dyDescent="0.35">
      <c r="A19">
        <v>7</v>
      </c>
      <c r="B19" t="s">
        <v>1</v>
      </c>
      <c r="C19" s="15" t="str">
        <f>INDEX(Data!$B$2:$B$51,MATCH(1,INDEX((Data!$C$2:$C$51=B19)*(Data!$Q$2:$Q$51=A19),0),0))</f>
        <v>Alabama</v>
      </c>
      <c r="D19" s="10">
        <f>SUMPRODUCT((Data!$B$2:$B$51=C19)*(Data!$C$2:$C$51=B19)*(Data!$D$2:$D$51))</f>
        <v>4822023</v>
      </c>
      <c r="F19" t="s">
        <v>1</v>
      </c>
      <c r="G19" s="15" t="str">
        <f>INDEX(Data!$B$2:$B$51,MATCH(1,INDEX((Data!$C$2:$C$51=F19)*(Data!$R$2:$R$51=A19),0),0))</f>
        <v>Kentucky</v>
      </c>
      <c r="H19" s="10">
        <f>SUMPRODUCT((Data!$B$2:$B$51=G19)*(Data!$C$2:$C$51=F19)*(Data!$H$2:$H$51))</f>
        <v>110</v>
      </c>
      <c r="J19" t="s">
        <v>1</v>
      </c>
      <c r="K19" s="15" t="str">
        <f>INDEX(Data!$B$2:$B$51,MATCH(1,INDEX((Data!$C$2:$C$51=J19)*(Data!$S$2:$S$51=A19),0),0))</f>
        <v>Louisiana</v>
      </c>
      <c r="L19" s="10">
        <f>SUMPRODUCT((Data!$B$2:$B$51=K19)*(Data!$C$2:$C$51=J19)*(Data!$I$2:$I$51))</f>
        <v>34811072000</v>
      </c>
      <c r="N19" t="s">
        <v>1</v>
      </c>
      <c r="O19" s="15" t="str">
        <f>INDEX(Data!$B$2:$B$51,MATCH(1,INDEX((Data!$C$2:$C$51=N19)*(Data!$T$2:$T$51=A19),0),0))</f>
        <v>Louisiana</v>
      </c>
      <c r="P19" s="10">
        <f>SUMPRODUCT((Data!$B$2:$B$51=O19)*(Data!$C$2:$C$51=N19)*(Data!$J$2:$J$51))</f>
        <v>52972476987.5</v>
      </c>
      <c r="R19" t="s">
        <v>1</v>
      </c>
      <c r="S19" s="15" t="str">
        <f>INDEX(Data!$B$2:$B$51,MATCH(1,INDEX((Data!$C$2:$C$51=R19)*(Data!$U$2:$U$51=A19),0),0))</f>
        <v>Arkansas</v>
      </c>
      <c r="T19" s="8">
        <f>SUMPRODUCT((Data!$B$2:$B$51=S19)*(Data!$C$2:$C$51=R19)*(Data!$K$2:$K$51))</f>
        <v>7.4999999999999997E-2</v>
      </c>
    </row>
    <row r="20" spans="1:20" x14ac:dyDescent="0.35">
      <c r="A20">
        <v>8</v>
      </c>
      <c r="B20" t="s">
        <v>1</v>
      </c>
      <c r="C20" s="15" t="str">
        <f>INDEX(Data!$B$2:$B$51,MATCH(1,INDEX((Data!$C$2:$C$51=B20)*(Data!$Q$2:$Q$51=A20),0),0))</f>
        <v>South Carolina</v>
      </c>
      <c r="D20" s="10">
        <f>SUMPRODUCT((Data!$B$2:$B$51=C20)*(Data!$C$2:$C$51=B20)*(Data!$D$2:$D$51))</f>
        <v>4723723</v>
      </c>
      <c r="F20" t="s">
        <v>1</v>
      </c>
      <c r="G20" s="15" t="str">
        <f>INDEX(Data!$B$2:$B$51,MATCH(1,INDEX((Data!$C$2:$C$51=F20)*(Data!$R$2:$R$51=A20),0),0))</f>
        <v>Louisiana</v>
      </c>
      <c r="H20" s="10">
        <f>SUMPRODUCT((Data!$B$2:$B$51=G20)*(Data!$C$2:$C$51=F20)*(Data!$H$2:$H$51))</f>
        <v>105</v>
      </c>
      <c r="J20" t="s">
        <v>1</v>
      </c>
      <c r="K20" s="15" t="str">
        <f>INDEX(Data!$B$2:$B$51,MATCH(1,INDEX((Data!$C$2:$C$51=J20)*(Data!$S$2:$S$51=A20),0),0))</f>
        <v>Oklahoma</v>
      </c>
      <c r="L20" s="10">
        <f>SUMPRODUCT((Data!$B$2:$B$51=K20)*(Data!$C$2:$C$51=J20)*(Data!$I$2:$I$51))</f>
        <v>27087264000</v>
      </c>
      <c r="N20" t="s">
        <v>1</v>
      </c>
      <c r="O20" s="15" t="str">
        <f>INDEX(Data!$B$2:$B$51,MATCH(1,INDEX((Data!$C$2:$C$51=N20)*(Data!$T$2:$T$51=A20),0),0))</f>
        <v>Oklahoma</v>
      </c>
      <c r="P20" s="10">
        <f>SUMPRODUCT((Data!$B$2:$B$51=O20)*(Data!$C$2:$C$51=N20)*(Data!$J$2:$J$51))</f>
        <v>43839291300</v>
      </c>
      <c r="R20" t="s">
        <v>1</v>
      </c>
      <c r="S20" s="15" t="str">
        <f>INDEX(Data!$B$2:$B$51,MATCH(1,INDEX((Data!$C$2:$C$51=R20)*(Data!$U$2:$U$51=A20),0),0))</f>
        <v>Florida</v>
      </c>
      <c r="T20" s="8">
        <f>SUMPRODUCT((Data!$B$2:$B$51=S20)*(Data!$C$2:$C$51=R20)*(Data!$K$2:$K$51))</f>
        <v>6.7000000000000004E-2</v>
      </c>
    </row>
    <row r="21" spans="1:20" x14ac:dyDescent="0.35">
      <c r="A21">
        <v>9</v>
      </c>
      <c r="B21" t="s">
        <v>1</v>
      </c>
      <c r="C21" s="15" t="str">
        <f>INDEX(Data!$B$2:$B$51,MATCH(1,INDEX((Data!$C$2:$C$51=B21)*(Data!$Q$2:$Q$51=A21),0),0))</f>
        <v>Louisiana</v>
      </c>
      <c r="D21" s="10">
        <f>SUMPRODUCT((Data!$B$2:$B$51=C21)*(Data!$C$2:$C$51=B21)*(Data!$D$2:$D$51))</f>
        <v>4601893</v>
      </c>
      <c r="F21" t="s">
        <v>1</v>
      </c>
      <c r="G21" s="15" t="str">
        <f>INDEX(Data!$B$2:$B$51,MATCH(1,INDEX((Data!$C$2:$C$51=F21)*(Data!$R$2:$R$51=A21),0),0))</f>
        <v>Texas</v>
      </c>
      <c r="H21" s="10">
        <f>SUMPRODUCT((Data!$B$2:$B$51=G21)*(Data!$C$2:$C$51=F21)*(Data!$H$2:$H$51))</f>
        <v>98.07</v>
      </c>
      <c r="J21" t="s">
        <v>1</v>
      </c>
      <c r="K21" s="15" t="str">
        <f>INDEX(Data!$B$2:$B$51,MATCH(1,INDEX((Data!$C$2:$C$51=J21)*(Data!$S$2:$S$51=A21),0),0))</f>
        <v>Arkansas</v>
      </c>
      <c r="L21" s="10">
        <f>SUMPRODUCT((Data!$B$2:$B$51=K21)*(Data!$C$2:$C$51=J21)*(Data!$I$2:$I$51))</f>
        <v>25299832000</v>
      </c>
      <c r="N21" t="s">
        <v>1</v>
      </c>
      <c r="O21" s="15" t="str">
        <f>INDEX(Data!$B$2:$B$51,MATCH(1,INDEX((Data!$C$2:$C$51=N21)*(Data!$T$2:$T$51=A21),0),0))</f>
        <v>Arkansas</v>
      </c>
      <c r="P21" s="10">
        <f>SUMPRODUCT((Data!$B$2:$B$51=O21)*(Data!$C$2:$C$51=N21)*(Data!$J$2:$J$51))</f>
        <v>33975450757.499996</v>
      </c>
      <c r="R21" t="s">
        <v>1</v>
      </c>
      <c r="S21" s="15" t="str">
        <f>INDEX(Data!$B$2:$B$51,MATCH(1,INDEX((Data!$C$2:$C$51=R21)*(Data!$U$2:$U$51=A21),0),0))</f>
        <v>Alabama</v>
      </c>
      <c r="T21" s="8">
        <f>SUMPRODUCT((Data!$B$2:$B$51=S21)*(Data!$C$2:$C$51=R21)*(Data!$K$2:$K$51))</f>
        <v>6.5000000000000002E-2</v>
      </c>
    </row>
    <row r="22" spans="1:20" x14ac:dyDescent="0.35">
      <c r="A22">
        <v>10</v>
      </c>
      <c r="B22" t="s">
        <v>1</v>
      </c>
      <c r="C22" s="15" t="str">
        <f>INDEX(Data!$B$2:$B$51,MATCH(1,INDEX((Data!$C$2:$C$51=B22)*(Data!$Q$2:$Q$51=A22),0),0))</f>
        <v>Kentucky</v>
      </c>
      <c r="D22" s="10">
        <f>SUMPRODUCT((Data!$B$2:$B$51=C22)*(Data!$C$2:$C$51=B22)*(Data!$D$2:$D$51))</f>
        <v>4380415</v>
      </c>
      <c r="F22" t="s">
        <v>1</v>
      </c>
      <c r="G22" s="15" t="str">
        <f>INDEX(Data!$B$2:$B$51,MATCH(1,INDEX((Data!$C$2:$C$51=F22)*(Data!$R$2:$R$51=A22),0),0))</f>
        <v>Alabama</v>
      </c>
      <c r="H22" s="10">
        <f>SUMPRODUCT((Data!$B$2:$B$51=G22)*(Data!$C$2:$C$51=F22)*(Data!$H$2:$H$51))</f>
        <v>94.65</v>
      </c>
      <c r="J22" t="s">
        <v>1</v>
      </c>
      <c r="K22" s="15" t="str">
        <f>INDEX(Data!$B$2:$B$51,MATCH(1,INDEX((Data!$C$2:$C$51=J22)*(Data!$S$2:$S$51=A22),0),0))</f>
        <v>Kentucky</v>
      </c>
      <c r="L22" s="10">
        <f>SUMPRODUCT((Data!$B$2:$B$51=K22)*(Data!$C$2:$C$51=J22)*(Data!$I$2:$I$51))</f>
        <v>25085813000</v>
      </c>
      <c r="N22" t="s">
        <v>1</v>
      </c>
      <c r="O22" s="15" t="str">
        <f>INDEX(Data!$B$2:$B$51,MATCH(1,INDEX((Data!$C$2:$C$51=N22)*(Data!$T$2:$T$51=A22),0),0))</f>
        <v>Kentucky</v>
      </c>
      <c r="P22" s="10">
        <f>SUMPRODUCT((Data!$B$2:$B$51=O22)*(Data!$C$2:$C$51=N22)*(Data!$J$2:$J$51))</f>
        <v>50780512422.5</v>
      </c>
      <c r="R22" t="s">
        <v>1</v>
      </c>
      <c r="S22" s="15" t="str">
        <f>INDEX(Data!$B$2:$B$51,MATCH(1,INDEX((Data!$C$2:$C$51=R22)*(Data!$U$2:$U$51=A22),0),0))</f>
        <v>Louisiana</v>
      </c>
      <c r="T22" s="8">
        <f>SUMPRODUCT((Data!$B$2:$B$51=S22)*(Data!$C$2:$C$51=R22)*(Data!$K$2:$K$51))</f>
        <v>6.5000000000000002E-2</v>
      </c>
    </row>
    <row r="23" spans="1:20" x14ac:dyDescent="0.35">
      <c r="A23">
        <v>1</v>
      </c>
      <c r="B23" t="s">
        <v>2</v>
      </c>
      <c r="C23" s="15" t="str">
        <f>INDEX(Data!$B$2:$B$51,MATCH(1,INDEX((Data!$C$2:$C$51=B23)*(Data!$Q$2:$Q$51=A23),0),0))</f>
        <v>New York</v>
      </c>
      <c r="D23" s="10">
        <f>SUMPRODUCT((Data!$B$2:$B$51=C23)*(Data!$C$2:$C$51=B23)*(Data!$D$2:$D$51))</f>
        <v>19570261</v>
      </c>
      <c r="F23" t="s">
        <v>2</v>
      </c>
      <c r="G23" s="15" t="str">
        <f>INDEX(Data!$B$2:$B$51,MATCH(1,INDEX((Data!$C$2:$C$51=F23)*(Data!$R$2:$R$51=A23),0),0))</f>
        <v>New Jersey</v>
      </c>
      <c r="H23" s="10">
        <f>SUMPRODUCT((Data!$B$2:$B$51=G23)*(Data!$C$2:$C$51=F23)*(Data!$H$2:$H$51))</f>
        <v>1189</v>
      </c>
      <c r="J23" t="s">
        <v>2</v>
      </c>
      <c r="K23" s="15" t="str">
        <f>INDEX(Data!$B$2:$B$51,MATCH(1,INDEX((Data!$C$2:$C$51=J23)*(Data!$S$2:$S$51=A23),0),0))</f>
        <v>New York</v>
      </c>
      <c r="L23" s="10">
        <f>SUMPRODUCT((Data!$B$2:$B$51=K23)*(Data!$C$2:$C$51=J23)*(Data!$I$2:$I$51))</f>
        <v>201167954000</v>
      </c>
      <c r="N23" t="s">
        <v>2</v>
      </c>
      <c r="O23" s="15" t="str">
        <f>INDEX(Data!$B$2:$B$51,MATCH(1,INDEX((Data!$C$2:$C$51=N23)*(Data!$T$2:$T$51=A23),0),0))</f>
        <v>New York</v>
      </c>
      <c r="P23" s="10">
        <f>SUMPRODUCT((Data!$B$2:$B$51=O23)*(Data!$C$2:$C$51=N23)*(Data!$J$2:$J$51))</f>
        <v>226137677622.5</v>
      </c>
      <c r="R23" t="s">
        <v>2</v>
      </c>
      <c r="S23" s="15" t="str">
        <f>INDEX(Data!$B$2:$B$51,MATCH(1,INDEX((Data!$C$2:$C$51=R23)*(Data!$U$2:$U$51=A23),0),0))</f>
        <v>Rhode Island</v>
      </c>
      <c r="T23" s="8">
        <f>SUMPRODUCT((Data!$B$2:$B$51=S23)*(Data!$C$2:$C$51=R23)*(Data!$K$2:$K$51))</f>
        <v>9.1999999999999998E-2</v>
      </c>
    </row>
    <row r="24" spans="1:20" x14ac:dyDescent="0.35">
      <c r="A24">
        <v>2</v>
      </c>
      <c r="B24" t="s">
        <v>2</v>
      </c>
      <c r="C24" s="15" t="str">
        <f>INDEX(Data!$B$2:$B$51,MATCH(1,INDEX((Data!$C$2:$C$51=B24)*(Data!$Q$2:$Q$51=A24),0),0))</f>
        <v>Pennsylvania</v>
      </c>
      <c r="D24" s="10">
        <f>SUMPRODUCT((Data!$B$2:$B$51=C24)*(Data!$C$2:$C$51=B24)*(Data!$D$2:$D$51))</f>
        <v>12763536</v>
      </c>
      <c r="F24" t="s">
        <v>2</v>
      </c>
      <c r="G24" s="15" t="str">
        <f>INDEX(Data!$B$2:$B$51,MATCH(1,INDEX((Data!$C$2:$C$51=F24)*(Data!$R$2:$R$51=A24),0),0))</f>
        <v>Massachusetts</v>
      </c>
      <c r="H24" s="10">
        <f>SUMPRODUCT((Data!$B$2:$B$51=G24)*(Data!$C$2:$C$51=F24)*(Data!$H$2:$H$51))</f>
        <v>852.1</v>
      </c>
      <c r="J24" t="s">
        <v>2</v>
      </c>
      <c r="K24" s="15" t="str">
        <f>INDEX(Data!$B$2:$B$51,MATCH(1,INDEX((Data!$C$2:$C$51=J24)*(Data!$S$2:$S$51=A24),0),0))</f>
        <v>New Jersey</v>
      </c>
      <c r="L24" s="10">
        <f>SUMPRODUCT((Data!$B$2:$B$51=K24)*(Data!$C$2:$C$51=J24)*(Data!$I$2:$I$51))</f>
        <v>111377490000</v>
      </c>
      <c r="N24" t="s">
        <v>2</v>
      </c>
      <c r="O24" s="15" t="str">
        <f>INDEX(Data!$B$2:$B$51,MATCH(1,INDEX((Data!$C$2:$C$51=N24)*(Data!$T$2:$T$51=A24),0),0))</f>
        <v>New Jersey</v>
      </c>
      <c r="P24" s="10">
        <f>SUMPRODUCT((Data!$B$2:$B$51=O24)*(Data!$C$2:$C$51=N24)*(Data!$J$2:$J$51))</f>
        <v>102657007127.5</v>
      </c>
      <c r="R24" t="s">
        <v>2</v>
      </c>
      <c r="S24" s="15" t="str">
        <f>INDEX(Data!$B$2:$B$51,MATCH(1,INDEX((Data!$C$2:$C$51=R24)*(Data!$U$2:$U$51=A24),0),0))</f>
        <v>New Jersey</v>
      </c>
      <c r="T24" s="8">
        <f>SUMPRODUCT((Data!$B$2:$B$51=S24)*(Data!$C$2:$C$51=R24)*(Data!$K$2:$K$51))</f>
        <v>8.4000000000000005E-2</v>
      </c>
    </row>
    <row r="25" spans="1:20" x14ac:dyDescent="0.35">
      <c r="A25">
        <v>3</v>
      </c>
      <c r="B25" t="s">
        <v>2</v>
      </c>
      <c r="C25" s="15" t="str">
        <f>INDEX(Data!$B$2:$B$51,MATCH(1,INDEX((Data!$C$2:$C$51=B25)*(Data!$Q$2:$Q$51=A25),0),0))</f>
        <v>New Jersey</v>
      </c>
      <c r="D25" s="10">
        <f>SUMPRODUCT((Data!$B$2:$B$51=C25)*(Data!$C$2:$C$51=B25)*(Data!$D$2:$D$51))</f>
        <v>8864590</v>
      </c>
      <c r="F25" t="s">
        <v>2</v>
      </c>
      <c r="G25" s="15" t="str">
        <f>INDEX(Data!$B$2:$B$51,MATCH(1,INDEX((Data!$C$2:$C$51=F25)*(Data!$R$2:$R$51=A25),0),0))</f>
        <v>Connecticut</v>
      </c>
      <c r="H25" s="10">
        <f>SUMPRODUCT((Data!$B$2:$B$51=G25)*(Data!$C$2:$C$51=F25)*(Data!$H$2:$H$51))</f>
        <v>741.4</v>
      </c>
      <c r="J25" t="s">
        <v>2</v>
      </c>
      <c r="K25" s="15" t="str">
        <f>INDEX(Data!$B$2:$B$51,MATCH(1,INDEX((Data!$C$2:$C$51=J25)*(Data!$S$2:$S$51=A25),0),0))</f>
        <v>Pennsylvania</v>
      </c>
      <c r="L25" s="10">
        <f>SUMPRODUCT((Data!$B$2:$B$51=K25)*(Data!$C$2:$C$51=J25)*(Data!$I$2:$I$51))</f>
        <v>108961515000</v>
      </c>
      <c r="N25" t="s">
        <v>2</v>
      </c>
      <c r="O25" s="15" t="str">
        <f>INDEX(Data!$B$2:$B$51,MATCH(1,INDEX((Data!$C$2:$C$51=N25)*(Data!$T$2:$T$51=A25),0),0))</f>
        <v>Pennsylvania</v>
      </c>
      <c r="P25" s="10">
        <f>SUMPRODUCT((Data!$B$2:$B$51=O25)*(Data!$C$2:$C$51=N25)*(Data!$J$2:$J$51))</f>
        <v>148322935565</v>
      </c>
      <c r="R25" t="s">
        <v>2</v>
      </c>
      <c r="S25" s="15" t="str">
        <f>INDEX(Data!$B$2:$B$51,MATCH(1,INDEX((Data!$C$2:$C$51=R25)*(Data!$U$2:$U$51=A25),0),0))</f>
        <v>Connecticut</v>
      </c>
      <c r="T25" s="8">
        <f>SUMPRODUCT((Data!$B$2:$B$51=S25)*(Data!$C$2:$C$51=R25)*(Data!$K$2:$K$51))</f>
        <v>7.9000000000000001E-2</v>
      </c>
    </row>
    <row r="26" spans="1:20" x14ac:dyDescent="0.35">
      <c r="A26">
        <v>4</v>
      </c>
      <c r="B26" t="s">
        <v>2</v>
      </c>
      <c r="C26" s="15" t="str">
        <f>INDEX(Data!$B$2:$B$51,MATCH(1,INDEX((Data!$C$2:$C$51=B26)*(Data!$Q$2:$Q$51=A26),0),0))</f>
        <v>Massachusetts</v>
      </c>
      <c r="D26" s="10">
        <f>SUMPRODUCT((Data!$B$2:$B$51=C26)*(Data!$C$2:$C$51=B26)*(Data!$D$2:$D$51))</f>
        <v>6646144</v>
      </c>
      <c r="F26" t="s">
        <v>2</v>
      </c>
      <c r="G26" s="15" t="str">
        <f>INDEX(Data!$B$2:$B$51,MATCH(1,INDEX((Data!$C$2:$C$51=F26)*(Data!$R$2:$R$51=A26),0),0))</f>
        <v>Maryland</v>
      </c>
      <c r="H26" s="10">
        <f>SUMPRODUCT((Data!$B$2:$B$51=G26)*(Data!$C$2:$C$51=F26)*(Data!$H$2:$H$51))</f>
        <v>606.20000000000005</v>
      </c>
      <c r="J26" t="s">
        <v>2</v>
      </c>
      <c r="K26" s="15" t="str">
        <f>INDEX(Data!$B$2:$B$51,MATCH(1,INDEX((Data!$C$2:$C$51=J26)*(Data!$S$2:$S$51=A26),0),0))</f>
        <v>Massachusetts</v>
      </c>
      <c r="L26" s="10">
        <f>SUMPRODUCT((Data!$B$2:$B$51=K26)*(Data!$C$2:$C$51=J26)*(Data!$I$2:$I$51))</f>
        <v>79826976000</v>
      </c>
      <c r="N26" t="s">
        <v>2</v>
      </c>
      <c r="O26" s="15" t="str">
        <f>INDEX(Data!$B$2:$B$51,MATCH(1,INDEX((Data!$C$2:$C$51=N26)*(Data!$T$2:$T$51=A26),0),0))</f>
        <v>Massachusetts</v>
      </c>
      <c r="P26" s="10">
        <f>SUMPRODUCT((Data!$B$2:$B$51=O26)*(Data!$C$2:$C$51=N26)*(Data!$J$2:$J$51))</f>
        <v>76353432347.5</v>
      </c>
      <c r="R26" t="s">
        <v>2</v>
      </c>
      <c r="S26" s="15" t="str">
        <f>INDEX(Data!$B$2:$B$51,MATCH(1,INDEX((Data!$C$2:$C$51=R26)*(Data!$U$2:$U$51=A26),0),0))</f>
        <v>New York</v>
      </c>
      <c r="T26" s="8">
        <f>SUMPRODUCT((Data!$B$2:$B$51=S26)*(Data!$C$2:$C$51=R26)*(Data!$K$2:$K$51))</f>
        <v>7.6999999999999999E-2</v>
      </c>
    </row>
    <row r="27" spans="1:20" x14ac:dyDescent="0.35">
      <c r="A27">
        <v>5</v>
      </c>
      <c r="B27" t="s">
        <v>2</v>
      </c>
      <c r="C27" s="15" t="str">
        <f>INDEX(Data!$B$2:$B$51,MATCH(1,INDEX((Data!$C$2:$C$51=B27)*(Data!$Q$2:$Q$51=A27),0),0))</f>
        <v>Maryland</v>
      </c>
      <c r="D27" s="10">
        <f>SUMPRODUCT((Data!$B$2:$B$51=C27)*(Data!$C$2:$C$51=B27)*(Data!$D$2:$D$51))</f>
        <v>5884563</v>
      </c>
      <c r="F27" t="s">
        <v>2</v>
      </c>
      <c r="G27" s="15" t="str">
        <f>INDEX(Data!$B$2:$B$51,MATCH(1,INDEX((Data!$C$2:$C$51=F27)*(Data!$R$2:$R$51=A27),0),0))</f>
        <v>Delaware</v>
      </c>
      <c r="H27" s="10">
        <f>SUMPRODUCT((Data!$B$2:$B$51=G27)*(Data!$C$2:$C$51=F27)*(Data!$H$2:$H$51))</f>
        <v>470.7</v>
      </c>
      <c r="J27" t="s">
        <v>2</v>
      </c>
      <c r="K27" s="15" t="str">
        <f>INDEX(Data!$B$2:$B$51,MATCH(1,INDEX((Data!$C$2:$C$51=J27)*(Data!$S$2:$S$51=A27),0),0))</f>
        <v>Maryland</v>
      </c>
      <c r="L27" s="10">
        <f>SUMPRODUCT((Data!$B$2:$B$51=K27)*(Data!$C$2:$C$51=J27)*(Data!$I$2:$I$51))</f>
        <v>48107002000</v>
      </c>
      <c r="N27" t="s">
        <v>2</v>
      </c>
      <c r="O27" s="15" t="str">
        <f>INDEX(Data!$B$2:$B$51,MATCH(1,INDEX((Data!$C$2:$C$51=N27)*(Data!$T$2:$T$51=A27),0),0))</f>
        <v>Maryland</v>
      </c>
      <c r="P27" s="10">
        <f>SUMPRODUCT((Data!$B$2:$B$51=O27)*(Data!$C$2:$C$51=N27)*(Data!$J$2:$J$51))</f>
        <v>67585574087.5</v>
      </c>
      <c r="R27" t="s">
        <v>2</v>
      </c>
      <c r="S27" s="15" t="str">
        <f>INDEX(Data!$B$2:$B$51,MATCH(1,INDEX((Data!$C$2:$C$51=R27)*(Data!$U$2:$U$51=A27),0),0))</f>
        <v>Pennsylvania</v>
      </c>
      <c r="T27" s="8">
        <f>SUMPRODUCT((Data!$B$2:$B$51=S27)*(Data!$C$2:$C$51=R27)*(Data!$K$2:$K$51))</f>
        <v>7.4999999999999997E-2</v>
      </c>
    </row>
    <row r="28" spans="1:20" x14ac:dyDescent="0.35">
      <c r="A28">
        <v>6</v>
      </c>
      <c r="B28" t="s">
        <v>2</v>
      </c>
      <c r="C28" s="15" t="str">
        <f>INDEX(Data!$B$2:$B$51,MATCH(1,INDEX((Data!$C$2:$C$51=B28)*(Data!$Q$2:$Q$51=A28),0),0))</f>
        <v>Connecticut</v>
      </c>
      <c r="D28" s="10">
        <f>SUMPRODUCT((Data!$B$2:$B$51=C28)*(Data!$C$2:$C$51=B28)*(Data!$D$2:$D$51))</f>
        <v>3590347</v>
      </c>
      <c r="F28" t="s">
        <v>2</v>
      </c>
      <c r="G28" s="15" t="str">
        <f>INDEX(Data!$B$2:$B$51,MATCH(1,INDEX((Data!$C$2:$C$51=F28)*(Data!$R$2:$R$51=A28),0),0))</f>
        <v>New York</v>
      </c>
      <c r="H28" s="10">
        <f>SUMPRODUCT((Data!$B$2:$B$51=G28)*(Data!$C$2:$C$51=F28)*(Data!$H$2:$H$51))</f>
        <v>415.3</v>
      </c>
      <c r="J28" t="s">
        <v>2</v>
      </c>
      <c r="K28" s="15" t="str">
        <f>INDEX(Data!$B$2:$B$51,MATCH(1,INDEX((Data!$C$2:$C$51=J28)*(Data!$S$2:$S$51=A28),0),0))</f>
        <v>Connecticut</v>
      </c>
      <c r="L28" s="10">
        <f>SUMPRODUCT((Data!$B$2:$B$51=K28)*(Data!$C$2:$C$51=J28)*(Data!$I$2:$I$51))</f>
        <v>47262702000</v>
      </c>
      <c r="N28" t="s">
        <v>2</v>
      </c>
      <c r="O28" s="15" t="str">
        <f>INDEX(Data!$B$2:$B$51,MATCH(1,INDEX((Data!$C$2:$C$51=N28)*(Data!$T$2:$T$51=A28),0),0))</f>
        <v>Connecticut</v>
      </c>
      <c r="P28" s="10">
        <f>SUMPRODUCT((Data!$B$2:$B$51=O28)*(Data!$C$2:$C$51=N28)*(Data!$J$2:$J$51))</f>
        <v>41647326735</v>
      </c>
      <c r="R28" t="s">
        <v>2</v>
      </c>
      <c r="S28" s="15" t="str">
        <f>INDEX(Data!$B$2:$B$51,MATCH(1,INDEX((Data!$C$2:$C$51=R28)*(Data!$U$2:$U$51=A28),0),0))</f>
        <v>Massachusetts</v>
      </c>
      <c r="T28" s="8">
        <f>SUMPRODUCT((Data!$B$2:$B$51=S28)*(Data!$C$2:$C$51=R28)*(Data!$K$2:$K$51))</f>
        <v>7.2000000000000008E-2</v>
      </c>
    </row>
    <row r="29" spans="1:20" x14ac:dyDescent="0.35">
      <c r="A29">
        <v>7</v>
      </c>
      <c r="B29" t="s">
        <v>2</v>
      </c>
      <c r="C29" s="15" t="str">
        <f>INDEX(Data!$B$2:$B$51,MATCH(1,INDEX((Data!$C$2:$C$51=B29)*(Data!$Q$2:$Q$51=A29),0),0))</f>
        <v>Maine</v>
      </c>
      <c r="D29" s="10">
        <f>SUMPRODUCT((Data!$B$2:$B$51=C29)*(Data!$C$2:$C$51=B29)*(Data!$D$2:$D$51))</f>
        <v>1329192</v>
      </c>
      <c r="F29" t="s">
        <v>2</v>
      </c>
      <c r="G29" s="15" t="str">
        <f>INDEX(Data!$B$2:$B$51,MATCH(1,INDEX((Data!$C$2:$C$51=F29)*(Data!$R$2:$R$51=A29),0),0))</f>
        <v>Pennsylvania</v>
      </c>
      <c r="H29" s="10">
        <f>SUMPRODUCT((Data!$B$2:$B$51=G29)*(Data!$C$2:$C$51=F29)*(Data!$H$2:$H$51))</f>
        <v>285.3</v>
      </c>
      <c r="J29" t="s">
        <v>2</v>
      </c>
      <c r="K29" s="15" t="str">
        <f>INDEX(Data!$B$2:$B$51,MATCH(1,INDEX((Data!$C$2:$C$51=J29)*(Data!$S$2:$S$51=A29),0),0))</f>
        <v>Delaware</v>
      </c>
      <c r="L29" s="10">
        <f>SUMPRODUCT((Data!$B$2:$B$51=K29)*(Data!$C$2:$C$51=J29)*(Data!$I$2:$I$51))</f>
        <v>21835412000</v>
      </c>
      <c r="N29" t="s">
        <v>2</v>
      </c>
      <c r="O29" s="15" t="str">
        <f>INDEX(Data!$B$2:$B$51,MATCH(1,INDEX((Data!$C$2:$C$51=N29)*(Data!$T$2:$T$51=A29),0),0))</f>
        <v>Delaware</v>
      </c>
      <c r="P29" s="10">
        <f>SUMPRODUCT((Data!$B$2:$B$51=O29)*(Data!$C$2:$C$51=N29)*(Data!$J$2:$J$51))</f>
        <v>10594495397.5</v>
      </c>
      <c r="R29" t="s">
        <v>2</v>
      </c>
      <c r="S29" s="15" t="str">
        <f>INDEX(Data!$B$2:$B$51,MATCH(1,INDEX((Data!$C$2:$C$51=R29)*(Data!$U$2:$U$51=A29),0),0))</f>
        <v>Delaware</v>
      </c>
      <c r="T29" s="8">
        <f>SUMPRODUCT((Data!$B$2:$B$51=S29)*(Data!$C$2:$C$51=R29)*(Data!$K$2:$K$51))</f>
        <v>6.8000000000000005E-2</v>
      </c>
    </row>
    <row r="30" spans="1:20" x14ac:dyDescent="0.35">
      <c r="A30">
        <v>8</v>
      </c>
      <c r="B30" t="s">
        <v>2</v>
      </c>
      <c r="C30" s="15" t="str">
        <f>INDEX(Data!$B$2:$B$51,MATCH(1,INDEX((Data!$C$2:$C$51=B30)*(Data!$Q$2:$Q$51=A30),0),0))</f>
        <v>New Hampshire</v>
      </c>
      <c r="D30" s="10">
        <f>SUMPRODUCT((Data!$B$2:$B$51=C30)*(Data!$C$2:$C$51=B30)*(Data!$D$2:$D$51))</f>
        <v>1320718</v>
      </c>
      <c r="F30" t="s">
        <v>2</v>
      </c>
      <c r="G30" s="15" t="str">
        <f>INDEX(Data!$B$2:$B$51,MATCH(1,INDEX((Data!$C$2:$C$51=F30)*(Data!$R$2:$R$51=A30),0),0))</f>
        <v>New Hampshire</v>
      </c>
      <c r="H30" s="10">
        <f>SUMPRODUCT((Data!$B$2:$B$51=G30)*(Data!$C$2:$C$51=F30)*(Data!$H$2:$H$51))</f>
        <v>147</v>
      </c>
      <c r="J30" t="s">
        <v>2</v>
      </c>
      <c r="K30" s="15" t="str">
        <f>INDEX(Data!$B$2:$B$51,MATCH(1,INDEX((Data!$C$2:$C$51=J30)*(Data!$S$2:$S$51=A30),0),0))</f>
        <v>Rhode Island</v>
      </c>
      <c r="L30" s="10">
        <f>SUMPRODUCT((Data!$B$2:$B$51=K30)*(Data!$C$2:$C$51=J30)*(Data!$I$2:$I$51))</f>
        <v>10992338000</v>
      </c>
      <c r="N30" t="s">
        <v>2</v>
      </c>
      <c r="O30" s="15" t="str">
        <f>INDEX(Data!$B$2:$B$51,MATCH(1,INDEX((Data!$C$2:$C$51=N30)*(Data!$T$2:$T$51=A30),0),0))</f>
        <v>Rhode Island</v>
      </c>
      <c r="P30" s="10">
        <f>SUMPRODUCT((Data!$B$2:$B$51=O30)*(Data!$C$2:$C$51=N30)*(Data!$J$2:$J$51))</f>
        <v>12421132535</v>
      </c>
      <c r="R30" t="s">
        <v>2</v>
      </c>
      <c r="S30" s="15" t="str">
        <f>INDEX(Data!$B$2:$B$51,MATCH(1,INDEX((Data!$C$2:$C$51=R30)*(Data!$U$2:$U$51=A30),0),0))</f>
        <v>Maryland</v>
      </c>
      <c r="T30" s="8">
        <f>SUMPRODUCT((Data!$B$2:$B$51=S30)*(Data!$C$2:$C$51=R30)*(Data!$K$2:$K$51))</f>
        <v>6.7000000000000004E-2</v>
      </c>
    </row>
    <row r="31" spans="1:20" x14ac:dyDescent="0.35">
      <c r="A31">
        <v>9</v>
      </c>
      <c r="B31" t="s">
        <v>2</v>
      </c>
      <c r="C31" s="15" t="str">
        <f>INDEX(Data!$B$2:$B$51,MATCH(1,INDEX((Data!$C$2:$C$51=B31)*(Data!$Q$2:$Q$51=A31),0),0))</f>
        <v>Rhode Island</v>
      </c>
      <c r="D31" s="10">
        <f>SUMPRODUCT((Data!$B$2:$B$51=C31)*(Data!$C$2:$C$51=B31)*(Data!$D$2:$D$51))</f>
        <v>1050292</v>
      </c>
      <c r="F31" t="s">
        <v>2</v>
      </c>
      <c r="G31" s="15" t="str">
        <f>INDEX(Data!$B$2:$B$51,MATCH(1,INDEX((Data!$C$2:$C$51=F31)*(Data!$R$2:$R$51=A31),0),0))</f>
        <v>Rhode Island</v>
      </c>
      <c r="H31" s="10">
        <f>SUMPRODUCT((Data!$B$2:$B$51=G31)*(Data!$C$2:$C$51=F31)*(Data!$H$2:$H$51))</f>
        <v>100.6</v>
      </c>
      <c r="J31" t="s">
        <v>2</v>
      </c>
      <c r="K31" s="15" t="str">
        <f>INDEX(Data!$B$2:$B$51,MATCH(1,INDEX((Data!$C$2:$C$51=J31)*(Data!$S$2:$S$51=A31),0),0))</f>
        <v>New Hampshire</v>
      </c>
      <c r="L31" s="10">
        <f>SUMPRODUCT((Data!$B$2:$B$51=K31)*(Data!$C$2:$C$51=J31)*(Data!$I$2:$I$51))</f>
        <v>8807691000</v>
      </c>
      <c r="N31" t="s">
        <v>2</v>
      </c>
      <c r="O31" s="15" t="str">
        <f>INDEX(Data!$B$2:$B$51,MATCH(1,INDEX((Data!$C$2:$C$51=N31)*(Data!$T$2:$T$51=A31),0),0))</f>
        <v>New Hampshire</v>
      </c>
      <c r="P31" s="10">
        <f>SUMPRODUCT((Data!$B$2:$B$51=O31)*(Data!$C$2:$C$51=N31)*(Data!$J$2:$J$51))</f>
        <v>15343751955</v>
      </c>
      <c r="R31" t="s">
        <v>2</v>
      </c>
      <c r="S31" s="15" t="str">
        <f>INDEX(Data!$B$2:$B$51,MATCH(1,INDEX((Data!$C$2:$C$51=R31)*(Data!$U$2:$U$51=A31),0),0))</f>
        <v>Maine</v>
      </c>
      <c r="T31" s="8">
        <f>SUMPRODUCT((Data!$B$2:$B$51=S31)*(Data!$C$2:$C$51=R31)*(Data!$K$2:$K$51))</f>
        <v>6.7000000000000004E-2</v>
      </c>
    </row>
    <row r="32" spans="1:20" x14ac:dyDescent="0.35">
      <c r="A32">
        <v>10</v>
      </c>
      <c r="B32" t="s">
        <v>2</v>
      </c>
      <c r="C32" s="15" t="str">
        <f>INDEX(Data!$B$2:$B$51,MATCH(1,INDEX((Data!$C$2:$C$51=B32)*(Data!$Q$2:$Q$51=A32),0),0))</f>
        <v>Delaware</v>
      </c>
      <c r="D32" s="10">
        <f>SUMPRODUCT((Data!$B$2:$B$51=C32)*(Data!$C$2:$C$51=B32)*(Data!$D$2:$D$51))</f>
        <v>917092</v>
      </c>
      <c r="F32" t="s">
        <v>2</v>
      </c>
      <c r="G32" s="15" t="str">
        <f>INDEX(Data!$B$2:$B$51,MATCH(1,INDEX((Data!$C$2:$C$51=F32)*(Data!$R$2:$R$51=A32),0),0))</f>
        <v>Vermont</v>
      </c>
      <c r="H32" s="10">
        <f>SUMPRODUCT((Data!$B$2:$B$51=G32)*(Data!$C$2:$C$51=F32)*(Data!$H$2:$H$51))</f>
        <v>67.73</v>
      </c>
      <c r="J32" t="s">
        <v>2</v>
      </c>
      <c r="K32" s="15" t="str">
        <f>INDEX(Data!$B$2:$B$51,MATCH(1,INDEX((Data!$C$2:$C$51=J32)*(Data!$S$2:$S$51=A32),0),0))</f>
        <v>Maine</v>
      </c>
      <c r="L32" s="10">
        <f>SUMPRODUCT((Data!$B$2:$B$51=K32)*(Data!$C$2:$C$51=J32)*(Data!$I$2:$I$51))</f>
        <v>6229189000</v>
      </c>
      <c r="N32" t="s">
        <v>2</v>
      </c>
      <c r="O32" s="15" t="str">
        <f>INDEX(Data!$B$2:$B$51,MATCH(1,INDEX((Data!$C$2:$C$51=N32)*(Data!$T$2:$T$51=A32),0),0))</f>
        <v>Maine</v>
      </c>
      <c r="P32" s="10">
        <f>SUMPRODUCT((Data!$B$2:$B$51=O32)*(Data!$C$2:$C$51=N32)*(Data!$J$2:$J$51))</f>
        <v>15343751955</v>
      </c>
      <c r="R32" t="s">
        <v>2</v>
      </c>
      <c r="S32" s="15" t="str">
        <f>INDEX(Data!$B$2:$B$51,MATCH(1,INDEX((Data!$C$2:$C$51=R32)*(Data!$U$2:$U$51=A32),0),0))</f>
        <v>New Hampshire</v>
      </c>
      <c r="T32" s="8">
        <f>SUMPRODUCT((Data!$B$2:$B$51=S32)*(Data!$C$2:$C$51=R32)*(Data!$K$2:$K$51))</f>
        <v>5.0999999999999997E-2</v>
      </c>
    </row>
    <row r="33" spans="1:20" x14ac:dyDescent="0.35">
      <c r="A33">
        <v>1</v>
      </c>
      <c r="B33" t="s">
        <v>3</v>
      </c>
      <c r="C33" s="15" t="str">
        <f>INDEX(Data!$B$2:$B$51,MATCH(1,INDEX((Data!$C$2:$C$51=B33)*(Data!$Q$2:$Q$51=A33),0),0))</f>
        <v>Illinois</v>
      </c>
      <c r="D33" s="10">
        <f>SUMPRODUCT((Data!$B$2:$B$51=C33)*(Data!$C$2:$C$51=B33)*(Data!$D$2:$D$51))</f>
        <v>12875255</v>
      </c>
      <c r="F33" t="s">
        <v>3</v>
      </c>
      <c r="G33" s="15" t="str">
        <f>INDEX(Data!$B$2:$B$51,MATCH(1,INDEX((Data!$C$2:$C$51=F33)*(Data!$R$2:$R$51=A33),0),0))</f>
        <v>Ohio</v>
      </c>
      <c r="H33" s="10">
        <f>SUMPRODUCT((Data!$B$2:$B$51=G33)*(Data!$C$2:$C$51=F33)*(Data!$H$2:$H$51))</f>
        <v>282.5</v>
      </c>
      <c r="J33" t="s">
        <v>3</v>
      </c>
      <c r="K33" s="15" t="str">
        <f>INDEX(Data!$B$2:$B$51,MATCH(1,INDEX((Data!$C$2:$C$51=J33)*(Data!$S$2:$S$51=A33),0),0))</f>
        <v>Illinois</v>
      </c>
      <c r="L33" s="10">
        <f>SUMPRODUCT((Data!$B$2:$B$51=K33)*(Data!$C$2:$C$51=J33)*(Data!$I$2:$I$51))</f>
        <v>124431227000</v>
      </c>
      <c r="N33" t="s">
        <v>3</v>
      </c>
      <c r="O33" s="15" t="str">
        <f>INDEX(Data!$B$2:$B$51,MATCH(1,INDEX((Data!$C$2:$C$51=N33)*(Data!$T$2:$T$51=A33),0),0))</f>
        <v>Illinois</v>
      </c>
      <c r="P33" s="10">
        <f>SUMPRODUCT((Data!$B$2:$B$51=O33)*(Data!$C$2:$C$51=N33)*(Data!$J$2:$J$51))</f>
        <v>149784245275</v>
      </c>
      <c r="R33" t="s">
        <v>3</v>
      </c>
      <c r="S33" s="15" t="str">
        <f>INDEX(Data!$B$2:$B$51,MATCH(1,INDEX((Data!$C$2:$C$51=R33)*(Data!$U$2:$U$51=A33),0),0))</f>
        <v>Michigan</v>
      </c>
      <c r="T33" s="8">
        <f>SUMPRODUCT((Data!$B$2:$B$51=S33)*(Data!$C$2:$C$51=R33)*(Data!$K$2:$K$51))</f>
        <v>0.09</v>
      </c>
    </row>
    <row r="34" spans="1:20" x14ac:dyDescent="0.35">
      <c r="A34">
        <v>2</v>
      </c>
      <c r="B34" t="s">
        <v>3</v>
      </c>
      <c r="C34" s="15" t="str">
        <f>INDEX(Data!$B$2:$B$51,MATCH(1,INDEX((Data!$C$2:$C$51=B34)*(Data!$Q$2:$Q$51=A34),0),0))</f>
        <v>Ohio</v>
      </c>
      <c r="D34" s="10">
        <f>SUMPRODUCT((Data!$B$2:$B$51=C34)*(Data!$C$2:$C$51=B34)*(Data!$D$2:$D$51))</f>
        <v>11544225</v>
      </c>
      <c r="F34" t="s">
        <v>3</v>
      </c>
      <c r="G34" s="15" t="str">
        <f>INDEX(Data!$B$2:$B$51,MATCH(1,INDEX((Data!$C$2:$C$51=F34)*(Data!$R$2:$R$51=A34),0),0))</f>
        <v>Illinois</v>
      </c>
      <c r="H34" s="10">
        <f>SUMPRODUCT((Data!$B$2:$B$51=G34)*(Data!$C$2:$C$51=F34)*(Data!$H$2:$H$51))</f>
        <v>231.9</v>
      </c>
      <c r="J34" t="s">
        <v>3</v>
      </c>
      <c r="K34" s="15" t="str">
        <f>INDEX(Data!$B$2:$B$51,MATCH(1,INDEX((Data!$C$2:$C$51=J34)*(Data!$S$2:$S$51=A34),0),0))</f>
        <v>Ohio</v>
      </c>
      <c r="L34" s="10">
        <f>SUMPRODUCT((Data!$B$2:$B$51=K34)*(Data!$C$2:$C$51=J34)*(Data!$I$2:$I$51))</f>
        <v>111094276000</v>
      </c>
      <c r="N34" t="s">
        <v>3</v>
      </c>
      <c r="O34" s="15" t="str">
        <f>INDEX(Data!$B$2:$B$51,MATCH(1,INDEX((Data!$C$2:$C$51=N34)*(Data!$T$2:$T$51=A34),0),0))</f>
        <v>Ohio</v>
      </c>
      <c r="P34" s="10">
        <f>SUMPRODUCT((Data!$B$2:$B$51=O34)*(Data!$C$2:$C$51=N34)*(Data!$J$2:$J$51))</f>
        <v>134805820747.50002</v>
      </c>
      <c r="R34" t="s">
        <v>3</v>
      </c>
      <c r="S34" s="15" t="str">
        <f>INDEX(Data!$B$2:$B$51,MATCH(1,INDEX((Data!$C$2:$C$51=R34)*(Data!$U$2:$U$51=A34),0),0))</f>
        <v>Illinois</v>
      </c>
      <c r="T34" s="8">
        <f>SUMPRODUCT((Data!$B$2:$B$51=S34)*(Data!$C$2:$C$51=R34)*(Data!$K$2:$K$51))</f>
        <v>8.900000000000001E-2</v>
      </c>
    </row>
    <row r="35" spans="1:20" x14ac:dyDescent="0.35">
      <c r="A35">
        <v>3</v>
      </c>
      <c r="B35" t="s">
        <v>3</v>
      </c>
      <c r="C35" s="15" t="str">
        <f>INDEX(Data!$B$2:$B$51,MATCH(1,INDEX((Data!$C$2:$C$51=B35)*(Data!$Q$2:$Q$51=A35),0),0))</f>
        <v>Michigan</v>
      </c>
      <c r="D35" s="10">
        <f>SUMPRODUCT((Data!$B$2:$B$51=C35)*(Data!$C$2:$C$51=B35)*(Data!$D$2:$D$51))</f>
        <v>9883360</v>
      </c>
      <c r="F35" t="s">
        <v>3</v>
      </c>
      <c r="G35" s="15" t="str">
        <f>INDEX(Data!$B$2:$B$51,MATCH(1,INDEX((Data!$C$2:$C$51=F35)*(Data!$R$2:$R$51=A35),0),0))</f>
        <v>Indiana</v>
      </c>
      <c r="H35" s="10">
        <f>SUMPRODUCT((Data!$B$2:$B$51=G35)*(Data!$C$2:$C$51=F35)*(Data!$H$2:$H$51))</f>
        <v>182.5</v>
      </c>
      <c r="J35" t="s">
        <v>3</v>
      </c>
      <c r="K35" s="15" t="str">
        <f>INDEX(Data!$B$2:$B$51,MATCH(1,INDEX((Data!$C$2:$C$51=J35)*(Data!$S$2:$S$51=A35),0),0))</f>
        <v>Minnesota</v>
      </c>
      <c r="L35" s="10">
        <f>SUMPRODUCT((Data!$B$2:$B$51=K35)*(Data!$C$2:$C$51=J35)*(Data!$I$2:$I$51))</f>
        <v>78685402000</v>
      </c>
      <c r="N35" t="s">
        <v>3</v>
      </c>
      <c r="O35" s="15" t="str">
        <f>INDEX(Data!$B$2:$B$51,MATCH(1,INDEX((Data!$C$2:$C$51=N35)*(Data!$T$2:$T$51=A35),0),0))</f>
        <v>Minnesota</v>
      </c>
      <c r="P35" s="10">
        <f>SUMPRODUCT((Data!$B$2:$B$51=O35)*(Data!$C$2:$C$51=N35)*(Data!$J$2:$J$51))</f>
        <v>62105662675.000008</v>
      </c>
      <c r="R35" t="s">
        <v>3</v>
      </c>
      <c r="S35" s="15" t="str">
        <f>INDEX(Data!$B$2:$B$51,MATCH(1,INDEX((Data!$C$2:$C$51=R35)*(Data!$U$2:$U$51=A35),0),0))</f>
        <v>Ohio</v>
      </c>
      <c r="T35" s="8">
        <f>SUMPRODUCT((Data!$B$2:$B$51=S35)*(Data!$C$2:$C$51=R35)*(Data!$K$2:$K$51))</f>
        <v>7.4999999999999997E-2</v>
      </c>
    </row>
    <row r="36" spans="1:20" x14ac:dyDescent="0.35">
      <c r="A36">
        <v>4</v>
      </c>
      <c r="B36" t="s">
        <v>3</v>
      </c>
      <c r="C36" s="15" t="str">
        <f>INDEX(Data!$B$2:$B$51,MATCH(1,INDEX((Data!$C$2:$C$51=B36)*(Data!$Q$2:$Q$51=A36),0),0))</f>
        <v>Indiana</v>
      </c>
      <c r="D36" s="10">
        <f>SUMPRODUCT((Data!$B$2:$B$51=C36)*(Data!$C$2:$C$51=B36)*(Data!$D$2:$D$51))</f>
        <v>6537334</v>
      </c>
      <c r="F36" t="s">
        <v>3</v>
      </c>
      <c r="G36" s="15" t="str">
        <f>INDEX(Data!$B$2:$B$51,MATCH(1,INDEX((Data!$C$2:$C$51=F36)*(Data!$R$2:$R$51=A36),0),0))</f>
        <v>Michigan</v>
      </c>
      <c r="H36" s="10">
        <f>SUMPRODUCT((Data!$B$2:$B$51=G36)*(Data!$C$2:$C$51=F36)*(Data!$H$2:$H$51))</f>
        <v>174.8</v>
      </c>
      <c r="J36" t="s">
        <v>3</v>
      </c>
      <c r="K36" s="15" t="str">
        <f>INDEX(Data!$B$2:$B$51,MATCH(1,INDEX((Data!$C$2:$C$51=J36)*(Data!$S$2:$S$51=A36),0),0))</f>
        <v>Michigan</v>
      </c>
      <c r="L36" s="10">
        <f>SUMPRODUCT((Data!$B$2:$B$51=K36)*(Data!$C$2:$C$51=J36)*(Data!$I$2:$I$51))</f>
        <v>59210158000</v>
      </c>
      <c r="N36" t="s">
        <v>3</v>
      </c>
      <c r="O36" s="15" t="str">
        <f>INDEX(Data!$B$2:$B$51,MATCH(1,INDEX((Data!$C$2:$C$51=N36)*(Data!$T$2:$T$51=A36),0),0))</f>
        <v>Michigan</v>
      </c>
      <c r="P36" s="10">
        <f>SUMPRODUCT((Data!$B$2:$B$51=O36)*(Data!$C$2:$C$51=N36)*(Data!$J$2:$J$51))</f>
        <v>115443467090.00002</v>
      </c>
      <c r="R36" t="s">
        <v>3</v>
      </c>
      <c r="S36" s="15" t="str">
        <f>INDEX(Data!$B$2:$B$51,MATCH(1,INDEX((Data!$C$2:$C$51=R36)*(Data!$U$2:$U$51=A36),0),0))</f>
        <v>Indiana</v>
      </c>
      <c r="T36" s="8">
        <f>SUMPRODUCT((Data!$B$2:$B$51=S36)*(Data!$C$2:$C$51=R36)*(Data!$K$2:$K$51))</f>
        <v>7.4999999999999997E-2</v>
      </c>
    </row>
    <row r="37" spans="1:20" x14ac:dyDescent="0.35">
      <c r="A37">
        <v>5</v>
      </c>
      <c r="B37" t="s">
        <v>3</v>
      </c>
      <c r="C37" s="15" t="str">
        <f>INDEX(Data!$B$2:$B$51,MATCH(1,INDEX((Data!$C$2:$C$51=B37)*(Data!$Q$2:$Q$51=A37),0),0))</f>
        <v>Missouri</v>
      </c>
      <c r="D37" s="10">
        <f>SUMPRODUCT((Data!$B$2:$B$51=C37)*(Data!$C$2:$C$51=B37)*(Data!$D$2:$D$51))</f>
        <v>6021988</v>
      </c>
      <c r="F37" t="s">
        <v>3</v>
      </c>
      <c r="G37" s="15" t="str">
        <f>INDEX(Data!$B$2:$B$51,MATCH(1,INDEX((Data!$C$2:$C$51=F37)*(Data!$R$2:$R$51=A37),0),0))</f>
        <v>Wisconsin</v>
      </c>
      <c r="H37" s="10">
        <f>SUMPRODUCT((Data!$B$2:$B$51=G37)*(Data!$C$2:$C$51=F37)*(Data!$H$2:$H$51))</f>
        <v>105.2</v>
      </c>
      <c r="J37" t="s">
        <v>3</v>
      </c>
      <c r="K37" s="15" t="str">
        <f>INDEX(Data!$B$2:$B$51,MATCH(1,INDEX((Data!$C$2:$C$51=J37)*(Data!$S$2:$S$51=A37),0),0))</f>
        <v>Indiana</v>
      </c>
      <c r="L37" s="10">
        <f>SUMPRODUCT((Data!$B$2:$B$51=K37)*(Data!$C$2:$C$51=J37)*(Data!$I$2:$I$51))</f>
        <v>51238512000</v>
      </c>
      <c r="N37" t="s">
        <v>3</v>
      </c>
      <c r="O37" s="15" t="str">
        <f>INDEX(Data!$B$2:$B$51,MATCH(1,INDEX((Data!$C$2:$C$51=N37)*(Data!$T$2:$T$51=A37),0),0))</f>
        <v>Indiana</v>
      </c>
      <c r="P37" s="10">
        <f>SUMPRODUCT((Data!$B$2:$B$51=O37)*(Data!$C$2:$C$51=N37)*(Data!$J$2:$J$51))</f>
        <v>75622777492.5</v>
      </c>
      <c r="R37" t="s">
        <v>3</v>
      </c>
      <c r="S37" s="15" t="str">
        <f>INDEX(Data!$B$2:$B$51,MATCH(1,INDEX((Data!$C$2:$C$51=R37)*(Data!$U$2:$U$51=A37),0),0))</f>
        <v>Missouri</v>
      </c>
      <c r="T37" s="8">
        <f>SUMPRODUCT((Data!$B$2:$B$51=S37)*(Data!$C$2:$C$51=R37)*(Data!$K$2:$K$51))</f>
        <v>6.5000000000000002E-2</v>
      </c>
    </row>
    <row r="38" spans="1:20" x14ac:dyDescent="0.35">
      <c r="A38">
        <v>6</v>
      </c>
      <c r="B38" t="s">
        <v>3</v>
      </c>
      <c r="C38" s="15" t="str">
        <f>INDEX(Data!$B$2:$B$51,MATCH(1,INDEX((Data!$C$2:$C$51=B38)*(Data!$Q$2:$Q$51=A38),0),0))</f>
        <v>Wisconsin</v>
      </c>
      <c r="D38" s="10">
        <f>SUMPRODUCT((Data!$B$2:$B$51=C38)*(Data!$C$2:$C$51=B38)*(Data!$D$2:$D$51))</f>
        <v>5726398</v>
      </c>
      <c r="F38" t="s">
        <v>3</v>
      </c>
      <c r="G38" s="15" t="str">
        <f>INDEX(Data!$B$2:$B$51,MATCH(1,INDEX((Data!$C$2:$C$51=F38)*(Data!$R$2:$R$51=A38),0),0))</f>
        <v>Missouri</v>
      </c>
      <c r="H38" s="10">
        <f>SUMPRODUCT((Data!$B$2:$B$51=G38)*(Data!$C$2:$C$51=F38)*(Data!$H$2:$H$51))</f>
        <v>87.26</v>
      </c>
      <c r="J38" t="s">
        <v>3</v>
      </c>
      <c r="K38" s="15" t="str">
        <f>INDEX(Data!$B$2:$B$51,MATCH(1,INDEX((Data!$C$2:$C$51=J38)*(Data!$S$2:$S$51=A38),0),0))</f>
        <v>Missouri</v>
      </c>
      <c r="L38" s="10">
        <f>SUMPRODUCT((Data!$B$2:$B$51=K38)*(Data!$C$2:$C$51=J38)*(Data!$I$2:$I$51))</f>
        <v>48413247000</v>
      </c>
      <c r="N38" t="s">
        <v>3</v>
      </c>
      <c r="O38" s="15" t="str">
        <f>INDEX(Data!$B$2:$B$51,MATCH(1,INDEX((Data!$C$2:$C$51=N38)*(Data!$T$2:$T$51=A38),0),0))</f>
        <v>Missouri</v>
      </c>
      <c r="P38" s="10">
        <f>SUMPRODUCT((Data!$B$2:$B$51=O38)*(Data!$C$2:$C$51=N38)*(Data!$J$2:$J$51))</f>
        <v>69777538652.5</v>
      </c>
      <c r="R38" t="s">
        <v>3</v>
      </c>
      <c r="S38" s="15" t="str">
        <f>INDEX(Data!$B$2:$B$51,MATCH(1,INDEX((Data!$C$2:$C$51=R38)*(Data!$U$2:$U$51=A38),0),0))</f>
        <v>Wisconsin</v>
      </c>
      <c r="T38" s="8">
        <f>SUMPRODUCT((Data!$B$2:$B$51=S38)*(Data!$C$2:$C$51=R38)*(Data!$K$2:$K$51))</f>
        <v>6.5000000000000002E-2</v>
      </c>
    </row>
    <row r="39" spans="1:20" x14ac:dyDescent="0.35">
      <c r="A39">
        <v>7</v>
      </c>
      <c r="B39" t="s">
        <v>3</v>
      </c>
      <c r="C39" s="15" t="str">
        <f>INDEX(Data!$B$2:$B$51,MATCH(1,INDEX((Data!$C$2:$C$51=B39)*(Data!$Q$2:$Q$51=A39),0),0))</f>
        <v>Minnesota</v>
      </c>
      <c r="D39" s="10">
        <f>SUMPRODUCT((Data!$B$2:$B$51=C39)*(Data!$C$2:$C$51=B39)*(Data!$D$2:$D$51))</f>
        <v>5379139</v>
      </c>
      <c r="F39" t="s">
        <v>3</v>
      </c>
      <c r="G39" s="15" t="str">
        <f>INDEX(Data!$B$2:$B$51,MATCH(1,INDEX((Data!$C$2:$C$51=F39)*(Data!$R$2:$R$51=A39),0),0))</f>
        <v>Minnesota</v>
      </c>
      <c r="H39" s="10">
        <f>SUMPRODUCT((Data!$B$2:$B$51=G39)*(Data!$C$2:$C$51=F39)*(Data!$H$2:$H$51))</f>
        <v>67.14</v>
      </c>
      <c r="J39" t="s">
        <v>3</v>
      </c>
      <c r="K39" s="15" t="str">
        <f>INDEX(Data!$B$2:$B$51,MATCH(1,INDEX((Data!$C$2:$C$51=J39)*(Data!$S$2:$S$51=A39),0),0))</f>
        <v>Wisconsin</v>
      </c>
      <c r="L39" s="10">
        <f>SUMPRODUCT((Data!$B$2:$B$51=K39)*(Data!$C$2:$C$51=J39)*(Data!$I$2:$I$51))</f>
        <v>41498033000</v>
      </c>
      <c r="N39" t="s">
        <v>3</v>
      </c>
      <c r="O39" s="15" t="str">
        <f>INDEX(Data!$B$2:$B$51,MATCH(1,INDEX((Data!$C$2:$C$51=N39)*(Data!$T$2:$T$51=A39),0),0))</f>
        <v>Wisconsin</v>
      </c>
      <c r="P39" s="10">
        <f>SUMPRODUCT((Data!$B$2:$B$51=O39)*(Data!$C$2:$C$51=N39)*(Data!$J$2:$J$51))</f>
        <v>66489591805</v>
      </c>
      <c r="R39" t="s">
        <v>3</v>
      </c>
      <c r="S39" s="15" t="str">
        <f>INDEX(Data!$B$2:$B$51,MATCH(1,INDEX((Data!$C$2:$C$51=R39)*(Data!$U$2:$U$51=A39),0),0))</f>
        <v>Kansas</v>
      </c>
      <c r="T39" s="8">
        <f>SUMPRODUCT((Data!$B$2:$B$51=S39)*(Data!$C$2:$C$51=R39)*(Data!$K$2:$K$51))</f>
        <v>5.5999999999999994E-2</v>
      </c>
    </row>
    <row r="40" spans="1:20" x14ac:dyDescent="0.35">
      <c r="A40">
        <v>8</v>
      </c>
      <c r="B40" t="s">
        <v>3</v>
      </c>
      <c r="C40" s="15" t="str">
        <f>INDEX(Data!$B$2:$B$51,MATCH(1,INDEX((Data!$C$2:$C$51=B40)*(Data!$Q$2:$Q$51=A40),0),0))</f>
        <v>Iowa</v>
      </c>
      <c r="D40" s="10">
        <f>SUMPRODUCT((Data!$B$2:$B$51=C40)*(Data!$C$2:$C$51=B40)*(Data!$D$2:$D$51))</f>
        <v>3074186</v>
      </c>
      <c r="F40" t="s">
        <v>3</v>
      </c>
      <c r="G40" s="15" t="str">
        <f>INDEX(Data!$B$2:$B$51,MATCH(1,INDEX((Data!$C$2:$C$51=F40)*(Data!$R$2:$R$51=A40),0),0))</f>
        <v>Iowa</v>
      </c>
      <c r="H40" s="10">
        <f>SUMPRODUCT((Data!$B$2:$B$51=G40)*(Data!$C$2:$C$51=F40)*(Data!$H$2:$H$51))</f>
        <v>54.81</v>
      </c>
      <c r="J40" t="s">
        <v>3</v>
      </c>
      <c r="K40" s="15" t="str">
        <f>INDEX(Data!$B$2:$B$51,MATCH(1,INDEX((Data!$C$2:$C$51=J40)*(Data!$S$2:$S$51=A40),0),0))</f>
        <v>Kansas</v>
      </c>
      <c r="L40" s="10">
        <f>SUMPRODUCT((Data!$B$2:$B$51=K40)*(Data!$C$2:$C$51=J40)*(Data!$I$2:$I$51))</f>
        <v>21904615000</v>
      </c>
      <c r="N40" t="s">
        <v>3</v>
      </c>
      <c r="O40" s="15" t="str">
        <f>INDEX(Data!$B$2:$B$51,MATCH(1,INDEX((Data!$C$2:$C$51=N40)*(Data!$T$2:$T$51=A40),0),0))</f>
        <v>Kansas</v>
      </c>
      <c r="P40" s="10">
        <f>SUMPRODUCT((Data!$B$2:$B$51=O40)*(Data!$C$2:$C$51=N40)*(Data!$J$2:$J$51))</f>
        <v>33244795902.5</v>
      </c>
      <c r="R40" t="s">
        <v>3</v>
      </c>
      <c r="S40" s="15" t="str">
        <f>INDEX(Data!$B$2:$B$51,MATCH(1,INDEX((Data!$C$2:$C$51=R40)*(Data!$U$2:$U$51=A40),0),0))</f>
        <v>Minnesota</v>
      </c>
      <c r="T40" s="8">
        <f>SUMPRODUCT((Data!$B$2:$B$51=S40)*(Data!$C$2:$C$51=R40)*(Data!$K$2:$K$51))</f>
        <v>4.8000000000000001E-2</v>
      </c>
    </row>
    <row r="41" spans="1:20" x14ac:dyDescent="0.35">
      <c r="A41">
        <v>9</v>
      </c>
      <c r="B41" t="s">
        <v>3</v>
      </c>
      <c r="C41" s="15" t="str">
        <f>INDEX(Data!$B$2:$B$51,MATCH(1,INDEX((Data!$C$2:$C$51=B41)*(Data!$Q$2:$Q$51=A41),0),0))</f>
        <v>Kansas</v>
      </c>
      <c r="D41" s="10">
        <f>SUMPRODUCT((Data!$B$2:$B$51=C41)*(Data!$C$2:$C$51=B41)*(Data!$D$2:$D$51))</f>
        <v>2885905</v>
      </c>
      <c r="F41" t="s">
        <v>3</v>
      </c>
      <c r="G41" s="15" t="str">
        <f>INDEX(Data!$B$2:$B$51,MATCH(1,INDEX((Data!$C$2:$C$51=F41)*(Data!$R$2:$R$51=A41),0),0))</f>
        <v>Kansas</v>
      </c>
      <c r="H41" s="10">
        <f>SUMPRODUCT((Data!$B$2:$B$51=G41)*(Data!$C$2:$C$51=F41)*(Data!$H$2:$H$51))</f>
        <v>35.090000000000003</v>
      </c>
      <c r="J41" t="s">
        <v>3</v>
      </c>
      <c r="K41" s="15" t="str">
        <f>INDEX(Data!$B$2:$B$51,MATCH(1,INDEX((Data!$C$2:$C$51=J41)*(Data!$S$2:$S$51=A41),0),0))</f>
        <v>Nebraska</v>
      </c>
      <c r="L41" s="10">
        <f>SUMPRODUCT((Data!$B$2:$B$51=K41)*(Data!$C$2:$C$51=J41)*(Data!$I$2:$I$51))</f>
        <v>19795254000</v>
      </c>
      <c r="N41" t="s">
        <v>3</v>
      </c>
      <c r="O41" s="15" t="str">
        <f>INDEX(Data!$B$2:$B$51,MATCH(1,INDEX((Data!$C$2:$C$51=N41)*(Data!$T$2:$T$51=A41),0),0))</f>
        <v>Nebraska</v>
      </c>
      <c r="P41" s="10">
        <f>SUMPRODUCT((Data!$B$2:$B$51=O41)*(Data!$C$2:$C$51=N41)*(Data!$J$2:$J$51))</f>
        <v>21188990795</v>
      </c>
      <c r="R41" t="s">
        <v>3</v>
      </c>
      <c r="S41" s="15" t="str">
        <f>INDEX(Data!$B$2:$B$51,MATCH(1,INDEX((Data!$C$2:$C$51=R41)*(Data!$U$2:$U$51=A41),0),0))</f>
        <v>Iowa</v>
      </c>
      <c r="T41" s="8">
        <f>SUMPRODUCT((Data!$B$2:$B$51=S41)*(Data!$C$2:$C$51=R41)*(Data!$K$2:$K$51))</f>
        <v>4.5999999999999999E-2</v>
      </c>
    </row>
    <row r="42" spans="1:20" x14ac:dyDescent="0.35">
      <c r="A42">
        <v>10</v>
      </c>
      <c r="B42" t="s">
        <v>3</v>
      </c>
      <c r="C42" s="15" t="str">
        <f>INDEX(Data!$B$2:$B$51,MATCH(1,INDEX((Data!$C$2:$C$51=B42)*(Data!$Q$2:$Q$51=A42),0),0))</f>
        <v>Nebraska</v>
      </c>
      <c r="D42" s="10">
        <f>SUMPRODUCT((Data!$B$2:$B$51=C42)*(Data!$C$2:$C$51=B42)*(Data!$D$2:$D$51))</f>
        <v>1855525</v>
      </c>
      <c r="F42" t="s">
        <v>3</v>
      </c>
      <c r="G42" s="15" t="str">
        <f>INDEX(Data!$B$2:$B$51,MATCH(1,INDEX((Data!$C$2:$C$51=F42)*(Data!$R$2:$R$51=A42),0),0))</f>
        <v>Nebraska</v>
      </c>
      <c r="H42" s="10">
        <f>SUMPRODUCT((Data!$B$2:$B$51=G42)*(Data!$C$2:$C$51=F42)*(Data!$H$2:$H$51))</f>
        <v>23.97</v>
      </c>
      <c r="J42" t="s">
        <v>3</v>
      </c>
      <c r="K42" s="15" t="str">
        <f>INDEX(Data!$B$2:$B$51,MATCH(1,INDEX((Data!$C$2:$C$51=J42)*(Data!$S$2:$S$51=A42),0),0))</f>
        <v>Iowa</v>
      </c>
      <c r="L42" s="10">
        <f>SUMPRODUCT((Data!$B$2:$B$51=K42)*(Data!$C$2:$C$51=J42)*(Data!$I$2:$I$51))</f>
        <v>18753596000</v>
      </c>
      <c r="N42" t="s">
        <v>3</v>
      </c>
      <c r="O42" s="15" t="str">
        <f>INDEX(Data!$B$2:$B$51,MATCH(1,INDEX((Data!$C$2:$C$51=N42)*(Data!$T$2:$T$51=A42),0),0))</f>
        <v>Iowa</v>
      </c>
      <c r="P42" s="10">
        <f>SUMPRODUCT((Data!$B$2:$B$51=O42)*(Data!$C$2:$C$51=N42)*(Data!$J$2:$J$51))</f>
        <v>35436760467.5</v>
      </c>
      <c r="R42" t="s">
        <v>3</v>
      </c>
      <c r="S42" s="15" t="str">
        <f>INDEX(Data!$B$2:$B$51,MATCH(1,INDEX((Data!$C$2:$C$51=R42)*(Data!$U$2:$U$51=A42),0),0))</f>
        <v>Nebraska</v>
      </c>
      <c r="T42" s="8">
        <f>SUMPRODUCT((Data!$B$2:$B$51=S42)*(Data!$C$2:$C$51=R42)*(Data!$K$2:$K$51))</f>
        <v>3.9E-2</v>
      </c>
    </row>
    <row r="43" spans="1:20" x14ac:dyDescent="0.35">
      <c r="A43">
        <v>1</v>
      </c>
      <c r="B43" s="12" t="s">
        <v>87</v>
      </c>
      <c r="C43" s="12" t="str">
        <f t="shared" ref="C43:C47" si="0">INDEX(C$3:C$42,MATCH(VLOOKUP(LARGE(D$3:D$42,A43),D$3:D$42,1,0),D$3:D$42,0),1)</f>
        <v>California</v>
      </c>
      <c r="D43" s="16">
        <f t="shared" ref="D43:D47" si="1">VLOOKUP(LARGE(D$3:D$42,A43),D$3:D$42,1,0)</f>
        <v>38041430</v>
      </c>
      <c r="F43" s="12" t="s">
        <v>87</v>
      </c>
      <c r="G43" s="12" t="str">
        <f t="shared" ref="G43:G47" si="2">INDEX(G$3:G$42,MATCH(VLOOKUP(LARGE(H$3:H$42,$A43),H$3:H$42,1,0),H$3:H$42,0),1)</f>
        <v>New Jersey</v>
      </c>
      <c r="H43" s="16">
        <f t="shared" ref="H43:H47" si="3">VLOOKUP(LARGE(H$3:H$42,$A43),H$3:H$42,1,0)</f>
        <v>1189</v>
      </c>
      <c r="J43" s="12" t="s">
        <v>87</v>
      </c>
      <c r="K43" s="12" t="str">
        <f t="shared" ref="K43:K47" si="4">INDEX(K$3:K$42,MATCH(VLOOKUP(LARGE(L$3:L$42,$A43),L$3:L$42,1,0),L$3:L$42,0),1)</f>
        <v>California</v>
      </c>
      <c r="L43" s="16">
        <f t="shared" ref="L43:L47" si="5">VLOOKUP(LARGE(L$3:L$42,$A43),L$3:L$42,1,0)</f>
        <v>292563574000</v>
      </c>
      <c r="N43" s="12" t="s">
        <v>87</v>
      </c>
      <c r="O43" s="12" t="str">
        <f t="shared" ref="O43:O47" si="6">INDEX(O$3:O$42,MATCH(VLOOKUP(LARGE(P$3:P$42,$A43),P$3:P$42,1,0),P$3:P$42,0),1)</f>
        <v>California</v>
      </c>
      <c r="P43" s="16">
        <f t="shared" ref="P43:P47" si="7">VLOOKUP(LARGE(P$3:P$42,$A43),P$3:P$42,1,0)</f>
        <v>435914805277.5</v>
      </c>
      <c r="R43" s="12" t="s">
        <v>87</v>
      </c>
      <c r="S43" s="12" t="str">
        <f t="shared" ref="S43:S47" si="8">INDEX(S$3:S$42,MATCH(VLOOKUP(LARGE(T$3:T$42,$A43),T$3:T$42,1,0),T$3:T$42,0),1)</f>
        <v>Nevada</v>
      </c>
      <c r="T43" s="17">
        <f t="shared" ref="T43:T47" si="9">VLOOKUP(LARGE(T$3:T$42,A43),T$3:T$42,1,0)</f>
        <v>9.3000000000000013E-2</v>
      </c>
    </row>
    <row r="44" spans="1:20" x14ac:dyDescent="0.35">
      <c r="A44">
        <v>2</v>
      </c>
      <c r="B44" s="12" t="s">
        <v>87</v>
      </c>
      <c r="C44" s="12" t="str">
        <f t="shared" si="0"/>
        <v>Texas</v>
      </c>
      <c r="D44" s="16">
        <f t="shared" si="1"/>
        <v>26059203</v>
      </c>
      <c r="F44" s="12" t="s">
        <v>87</v>
      </c>
      <c r="G44" s="12" t="str">
        <f t="shared" si="2"/>
        <v>Massachusetts</v>
      </c>
      <c r="H44" s="16">
        <f t="shared" si="3"/>
        <v>852.1</v>
      </c>
      <c r="J44" s="12" t="s">
        <v>87</v>
      </c>
      <c r="K44" s="12" t="str">
        <f t="shared" si="4"/>
        <v>Texas</v>
      </c>
      <c r="L44" s="16">
        <f t="shared" si="5"/>
        <v>219459878000</v>
      </c>
      <c r="N44" s="12" t="s">
        <v>87</v>
      </c>
      <c r="O44" s="12" t="str">
        <f t="shared" si="6"/>
        <v>Texas</v>
      </c>
      <c r="P44" s="16">
        <f t="shared" si="7"/>
        <v>293723251710</v>
      </c>
      <c r="R44" s="12" t="s">
        <v>87</v>
      </c>
      <c r="S44" s="12" t="str">
        <f t="shared" si="8"/>
        <v>Rhode Island</v>
      </c>
      <c r="T44" s="17">
        <f t="shared" si="9"/>
        <v>9.1999999999999998E-2</v>
      </c>
    </row>
    <row r="45" spans="1:20" x14ac:dyDescent="0.35">
      <c r="A45">
        <v>3</v>
      </c>
      <c r="B45" s="12" t="s">
        <v>87</v>
      </c>
      <c r="C45" s="12" t="str">
        <f t="shared" si="0"/>
        <v>New York</v>
      </c>
      <c r="D45" s="16">
        <f t="shared" si="1"/>
        <v>19570261</v>
      </c>
      <c r="F45" s="12" t="s">
        <v>87</v>
      </c>
      <c r="G45" s="12" t="str">
        <f t="shared" si="2"/>
        <v>Connecticut</v>
      </c>
      <c r="H45" s="16">
        <f t="shared" si="3"/>
        <v>741.4</v>
      </c>
      <c r="J45" s="12" t="s">
        <v>87</v>
      </c>
      <c r="K45" s="12" t="str">
        <f t="shared" si="4"/>
        <v>New York</v>
      </c>
      <c r="L45" s="16">
        <f t="shared" si="5"/>
        <v>201167954000</v>
      </c>
      <c r="N45" s="12" t="s">
        <v>87</v>
      </c>
      <c r="O45" s="12" t="str">
        <f t="shared" si="6"/>
        <v>New York</v>
      </c>
      <c r="P45" s="16">
        <f t="shared" si="7"/>
        <v>226137677622.5</v>
      </c>
      <c r="R45" s="12" t="s">
        <v>87</v>
      </c>
      <c r="S45" s="12" t="str">
        <f t="shared" si="8"/>
        <v>Michigan</v>
      </c>
      <c r="T45" s="17">
        <f t="shared" si="9"/>
        <v>0.09</v>
      </c>
    </row>
    <row r="46" spans="1:20" x14ac:dyDescent="0.35">
      <c r="A46">
        <v>4</v>
      </c>
      <c r="B46" s="12" t="s">
        <v>87</v>
      </c>
      <c r="C46" s="12" t="str">
        <f t="shared" si="0"/>
        <v>Florida</v>
      </c>
      <c r="D46" s="16">
        <f t="shared" si="1"/>
        <v>19317568</v>
      </c>
      <c r="F46" s="12" t="s">
        <v>87</v>
      </c>
      <c r="G46" s="12" t="str">
        <f t="shared" si="2"/>
        <v>Maryland</v>
      </c>
      <c r="H46" s="16">
        <f t="shared" si="3"/>
        <v>606.20000000000005</v>
      </c>
      <c r="J46" s="12" t="s">
        <v>87</v>
      </c>
      <c r="K46" s="12" t="str">
        <f t="shared" si="4"/>
        <v>Illinois</v>
      </c>
      <c r="L46" s="16">
        <f t="shared" si="5"/>
        <v>124431227000</v>
      </c>
      <c r="N46" s="12" t="s">
        <v>87</v>
      </c>
      <c r="O46" s="12" t="str">
        <f t="shared" si="6"/>
        <v>Florida</v>
      </c>
      <c r="P46" s="16">
        <f t="shared" si="7"/>
        <v>219561783927.5</v>
      </c>
      <c r="R46" s="12" t="s">
        <v>87</v>
      </c>
      <c r="S46" s="12" t="str">
        <f t="shared" si="8"/>
        <v>Illinois</v>
      </c>
      <c r="T46" s="17">
        <f t="shared" si="9"/>
        <v>8.900000000000001E-2</v>
      </c>
    </row>
    <row r="47" spans="1:20" x14ac:dyDescent="0.35">
      <c r="A47">
        <v>5</v>
      </c>
      <c r="B47" s="12" t="s">
        <v>87</v>
      </c>
      <c r="C47" s="12" t="str">
        <f t="shared" si="0"/>
        <v>Illinois</v>
      </c>
      <c r="D47" s="16">
        <f t="shared" si="1"/>
        <v>12875255</v>
      </c>
      <c r="F47" s="12" t="s">
        <v>87</v>
      </c>
      <c r="G47" s="12" t="str">
        <f t="shared" si="2"/>
        <v>Delaware</v>
      </c>
      <c r="H47" s="16">
        <f t="shared" si="3"/>
        <v>470.7</v>
      </c>
      <c r="J47" s="12" t="s">
        <v>87</v>
      </c>
      <c r="K47" s="12" t="str">
        <f t="shared" si="4"/>
        <v>Florida</v>
      </c>
      <c r="L47" s="16">
        <f t="shared" si="5"/>
        <v>122249635000</v>
      </c>
      <c r="N47" s="12" t="s">
        <v>87</v>
      </c>
      <c r="O47" s="12" t="str">
        <f t="shared" si="6"/>
        <v>Illinois</v>
      </c>
      <c r="P47" s="16">
        <f t="shared" si="7"/>
        <v>149784245275</v>
      </c>
      <c r="R47" s="12" t="s">
        <v>87</v>
      </c>
      <c r="S47" s="12" t="str">
        <f t="shared" si="8"/>
        <v>California</v>
      </c>
      <c r="T47" s="17">
        <f t="shared" si="9"/>
        <v>8.6999999999999994E-2</v>
      </c>
    </row>
    <row r="48" spans="1:20" x14ac:dyDescent="0.35">
      <c r="A48">
        <v>6</v>
      </c>
      <c r="B48" s="12" t="s">
        <v>87</v>
      </c>
      <c r="C48" s="12" t="str">
        <f>INDEX(C$3:C$42,MATCH(VLOOKUP(LARGE(D$3:D$42,A48),D$3:D$42,1,0),D$3:D$42,0),1)</f>
        <v>Pennsylvania</v>
      </c>
      <c r="D48" s="16">
        <f>VLOOKUP(LARGE(D$3:D$42,A48),D$3:D$42,1,0)</f>
        <v>12763536</v>
      </c>
      <c r="F48" s="12" t="s">
        <v>87</v>
      </c>
      <c r="G48" s="12" t="str">
        <f>INDEX(G$3:G$42,MATCH(VLOOKUP(LARGE(H$3:H$42,$A48),H$3:H$42,1,0),H$3:H$42,0),1)</f>
        <v>New York</v>
      </c>
      <c r="H48" s="16">
        <f>VLOOKUP(LARGE(H$3:H$42,$A48),H$3:H$42,1,0)</f>
        <v>415.3</v>
      </c>
      <c r="J48" s="12" t="s">
        <v>87</v>
      </c>
      <c r="K48" s="12" t="str">
        <f>INDEX(K$3:K$42,MATCH(VLOOKUP(LARGE(L$3:L$42,$A48),L$3:L$42,1,0),L$3:L$42,0),1)</f>
        <v>New Jersey</v>
      </c>
      <c r="L48" s="16">
        <f>VLOOKUP(LARGE(L$3:L$42,$A48),L$3:L$42,1,0)</f>
        <v>111377490000</v>
      </c>
      <c r="N48" s="12" t="s">
        <v>87</v>
      </c>
      <c r="O48" s="12" t="str">
        <f>INDEX(O$3:O$42,MATCH(VLOOKUP(LARGE(P$3:P$42,$A48),P$3:P$42,1,0),P$3:P$42,0),1)</f>
        <v>Pennsylvania</v>
      </c>
      <c r="P48" s="16">
        <f>VLOOKUP(LARGE(P$3:P$42,$A48),P$3:P$42,1,0)</f>
        <v>148322935565</v>
      </c>
      <c r="R48" s="12" t="s">
        <v>87</v>
      </c>
      <c r="S48" s="12" t="str">
        <f>INDEX(S$3:S$42,MATCH(VLOOKUP(LARGE(T$3:T$42,$A48),T$3:T$42,1,0),T$3:T$42,0),1)</f>
        <v>Mississippi</v>
      </c>
      <c r="T48" s="17">
        <f>VLOOKUP(LARGE(T$3:T$42,A48),T$3:T$42,1,0)</f>
        <v>8.5000000000000006E-2</v>
      </c>
    </row>
    <row r="49" spans="1:20" x14ac:dyDescent="0.35">
      <c r="A49">
        <v>7</v>
      </c>
      <c r="B49" s="12" t="s">
        <v>87</v>
      </c>
      <c r="C49" s="12" t="str">
        <f t="shared" ref="C49:C52" si="10">INDEX(C$3:C$42,MATCH(VLOOKUP(LARGE(D$3:D$42,A49),D$3:D$42,1,0),D$3:D$42,0),1)</f>
        <v>Ohio</v>
      </c>
      <c r="D49" s="16">
        <f t="shared" ref="D49:D52" si="11">VLOOKUP(LARGE(D$3:D$42,A49),D$3:D$42,1,0)</f>
        <v>11544225</v>
      </c>
      <c r="F49" s="12" t="s">
        <v>87</v>
      </c>
      <c r="G49" s="12" t="str">
        <f t="shared" ref="G49:G52" si="12">INDEX(G$3:G$42,MATCH(VLOOKUP(LARGE(H$3:H$42,$A49),H$3:H$42,1,0),H$3:H$42,0),1)</f>
        <v>Florida</v>
      </c>
      <c r="H49" s="16">
        <f t="shared" ref="H49:H52" si="13">VLOOKUP(LARGE(H$3:H$42,$A49),H$3:H$42,1,0)</f>
        <v>360.2</v>
      </c>
      <c r="J49" s="12" t="s">
        <v>87</v>
      </c>
      <c r="K49" s="12" t="str">
        <f t="shared" ref="K49:K52" si="14">INDEX(K$3:K$42,MATCH(VLOOKUP(LARGE(L$3:L$42,$A49),L$3:L$42,1,0),L$3:L$42,0),1)</f>
        <v>Ohio</v>
      </c>
      <c r="L49" s="16">
        <f t="shared" ref="L49:L52" si="15">VLOOKUP(LARGE(L$3:L$42,$A49),L$3:L$42,1,0)</f>
        <v>111094276000</v>
      </c>
      <c r="N49" s="12" t="s">
        <v>87</v>
      </c>
      <c r="O49" s="12" t="str">
        <f t="shared" ref="O49:O52" si="16">INDEX(O$3:O$42,MATCH(VLOOKUP(LARGE(P$3:P$42,$A49),P$3:P$42,1,0),P$3:P$42,0),1)</f>
        <v>Ohio</v>
      </c>
      <c r="P49" s="16">
        <f t="shared" ref="P49:P52" si="17">VLOOKUP(LARGE(P$3:P$42,$A49),P$3:P$42,1,0)</f>
        <v>134805820747.50002</v>
      </c>
      <c r="R49" s="12" t="s">
        <v>87</v>
      </c>
      <c r="S49" s="12" t="str">
        <f t="shared" ref="S49:S52" si="18">INDEX(S$3:S$42,MATCH(VLOOKUP(LARGE(T$3:T$42,$A49),T$3:T$42,1,0),T$3:T$42,0),1)</f>
        <v>Tennessee</v>
      </c>
      <c r="T49" s="17">
        <f>VLOOKUP(LARGE(T$3:T$42,A49),T$3:T$42,1,0)</f>
        <v>8.4000000000000005E-2</v>
      </c>
    </row>
    <row r="50" spans="1:20" x14ac:dyDescent="0.35">
      <c r="A50">
        <v>8</v>
      </c>
      <c r="B50" s="12" t="s">
        <v>87</v>
      </c>
      <c r="C50" s="12" t="str">
        <f t="shared" si="10"/>
        <v>Georgia</v>
      </c>
      <c r="D50" s="16">
        <f t="shared" si="11"/>
        <v>9919945</v>
      </c>
      <c r="F50" s="12" t="s">
        <v>87</v>
      </c>
      <c r="G50" s="12" t="str">
        <f t="shared" si="12"/>
        <v>Pennsylvania</v>
      </c>
      <c r="H50" s="16">
        <f t="shared" si="13"/>
        <v>285.3</v>
      </c>
      <c r="J50" s="12" t="s">
        <v>87</v>
      </c>
      <c r="K50" s="12" t="str">
        <f t="shared" si="14"/>
        <v>Pennsylvania</v>
      </c>
      <c r="L50" s="16">
        <f t="shared" si="15"/>
        <v>108961515000</v>
      </c>
      <c r="N50" s="12" t="s">
        <v>87</v>
      </c>
      <c r="O50" s="12" t="str">
        <f t="shared" si="16"/>
        <v>Michigan</v>
      </c>
      <c r="P50" s="16">
        <f t="shared" si="17"/>
        <v>115443467090.00002</v>
      </c>
      <c r="R50" s="12" t="s">
        <v>87</v>
      </c>
      <c r="S50" s="12" t="str">
        <f t="shared" si="18"/>
        <v>Tennessee</v>
      </c>
      <c r="T50" s="17">
        <f>VLOOKUP(LARGE(T$3:T$42,A50),T$3:T$42,1,0)</f>
        <v>8.4000000000000005E-2</v>
      </c>
    </row>
    <row r="51" spans="1:20" x14ac:dyDescent="0.35">
      <c r="A51">
        <v>9</v>
      </c>
      <c r="B51" s="12" t="s">
        <v>87</v>
      </c>
      <c r="C51" s="12" t="str">
        <f t="shared" si="10"/>
        <v>Michigan</v>
      </c>
      <c r="D51" s="16">
        <f t="shared" si="11"/>
        <v>9883360</v>
      </c>
      <c r="F51" s="12" t="s">
        <v>87</v>
      </c>
      <c r="G51" s="12" t="str">
        <f t="shared" si="12"/>
        <v>Ohio</v>
      </c>
      <c r="H51" s="16">
        <f t="shared" si="13"/>
        <v>282.5</v>
      </c>
      <c r="J51" s="12" t="s">
        <v>87</v>
      </c>
      <c r="K51" s="12" t="str">
        <f t="shared" si="14"/>
        <v>Massachusetts</v>
      </c>
      <c r="L51" s="16">
        <f t="shared" si="15"/>
        <v>79826976000</v>
      </c>
      <c r="N51" s="12" t="s">
        <v>87</v>
      </c>
      <c r="O51" s="12" t="str">
        <f t="shared" si="16"/>
        <v>Georgia</v>
      </c>
      <c r="P51" s="16">
        <f t="shared" si="17"/>
        <v>113251502525</v>
      </c>
      <c r="R51" s="12" t="s">
        <v>87</v>
      </c>
      <c r="S51" s="12" t="str">
        <f t="shared" si="18"/>
        <v>Tennessee</v>
      </c>
      <c r="T51" s="17">
        <f>VLOOKUP(LARGE(T$3:T$42,A51),T$3:T$42,1,0)</f>
        <v>8.4000000000000005E-2</v>
      </c>
    </row>
    <row r="52" spans="1:20" x14ac:dyDescent="0.35">
      <c r="A52">
        <v>10</v>
      </c>
      <c r="B52" s="12" t="s">
        <v>87</v>
      </c>
      <c r="C52" s="12" t="str">
        <f t="shared" si="10"/>
        <v>North Carolina</v>
      </c>
      <c r="D52" s="16">
        <f t="shared" si="11"/>
        <v>9752073</v>
      </c>
      <c r="F52" s="12" t="s">
        <v>87</v>
      </c>
      <c r="G52" s="12" t="str">
        <f t="shared" si="12"/>
        <v>California</v>
      </c>
      <c r="H52" s="16">
        <f t="shared" si="13"/>
        <v>244.2</v>
      </c>
      <c r="J52" s="12" t="s">
        <v>87</v>
      </c>
      <c r="K52" s="12" t="str">
        <f t="shared" si="14"/>
        <v>Minnesota</v>
      </c>
      <c r="L52" s="16">
        <f t="shared" si="15"/>
        <v>78685402000</v>
      </c>
      <c r="N52" s="12" t="s">
        <v>87</v>
      </c>
      <c r="O52" s="12" t="str">
        <f t="shared" si="16"/>
        <v>North Carolina</v>
      </c>
      <c r="P52" s="16">
        <f t="shared" si="17"/>
        <v>111424865387.5</v>
      </c>
      <c r="R52" s="12" t="s">
        <v>87</v>
      </c>
      <c r="S52" s="12" t="str">
        <f t="shared" si="18"/>
        <v>Arizona</v>
      </c>
      <c r="T52" s="17">
        <f>VLOOKUP(LARGE(T$3:T$42,A52),T$3:T$42,1,0)</f>
        <v>8.199999999999999E-2</v>
      </c>
    </row>
    <row r="57" spans="1:20" x14ac:dyDescent="0.35">
      <c r="B57" s="19" t="s">
        <v>5</v>
      </c>
      <c r="C57" s="19" t="s">
        <v>88</v>
      </c>
      <c r="D57" s="19" t="s">
        <v>88</v>
      </c>
      <c r="E57" s="19"/>
      <c r="F57" s="19" t="s">
        <v>5</v>
      </c>
      <c r="G57" s="19" t="s">
        <v>88</v>
      </c>
      <c r="H57" s="19" t="s">
        <v>89</v>
      </c>
    </row>
    <row r="58" spans="1:20" x14ac:dyDescent="0.35">
      <c r="B58" t="s">
        <v>0</v>
      </c>
      <c r="C58" s="10">
        <f>SUMPRODUCT((Data!$C$2:$C$51=$F58)*(Data!$H$2:$H$51))</f>
        <v>820.04299999999989</v>
      </c>
      <c r="D58" s="10">
        <f>SUMPRODUCT((Data!$C$2:$C$51=$F58)*(Data!$D$2:$D$51))</f>
        <v>73579431</v>
      </c>
      <c r="F58" t="s">
        <v>0</v>
      </c>
      <c r="G58" s="10">
        <f>SUMPRODUCT((Data!$C$2:$C$51=$F58)*(Data!D$2:D$51))</f>
        <v>73579431</v>
      </c>
      <c r="H58" s="10">
        <f>SUMPRODUCT((Data!$C$2:$C$51=$F58)*(Data!E$2:E$51))</f>
        <v>71945553</v>
      </c>
    </row>
    <row r="59" spans="1:20" x14ac:dyDescent="0.35">
      <c r="B59" t="s">
        <v>1</v>
      </c>
      <c r="C59" s="10">
        <f>SUMPRODUCT((Data!$C$2:$C$51=$F59)*(Data!$H$2:$H$51))</f>
        <v>1914.23</v>
      </c>
      <c r="D59" s="10">
        <f>SUMPRODUCT((Data!$C$2:$C$51=$F59)*(Data!$D$2:$D$51))</f>
        <v>109823243</v>
      </c>
      <c r="F59" t="s">
        <v>1</v>
      </c>
      <c r="G59" s="10">
        <f>SUMPRODUCT((Data!$C$2:$C$51=$F59)*(Data!$D$2:$D$51))</f>
        <v>109823243</v>
      </c>
      <c r="H59" s="10">
        <f>SUMPRODUCT((Data!$C$2:$C$51=$F59)*(Data!$D$2:$D$51))</f>
        <v>109823243</v>
      </c>
    </row>
    <row r="60" spans="1:20" x14ac:dyDescent="0.35">
      <c r="B60" t="s">
        <v>2</v>
      </c>
      <c r="C60" s="10">
        <f>SUMPRODUCT((Data!$C$2:$C$51=$F60)*(Data!$H$2:$H$51))</f>
        <v>4918.37</v>
      </c>
      <c r="D60" s="10">
        <f>SUMPRODUCT((Data!$C$2:$C$51=$F60)*(Data!$D$2:$D$51))</f>
        <v>62562746</v>
      </c>
      <c r="F60" t="s">
        <v>2</v>
      </c>
      <c r="G60" s="10">
        <f>SUMPRODUCT((Data!$C$2:$C$51=$F60)*(Data!$D$2:$D$51))</f>
        <v>62562746</v>
      </c>
      <c r="H60" s="10">
        <f>SUMPRODUCT((Data!$C$2:$C$51=$F60)*(Data!$D$2:$D$51))</f>
        <v>62562746</v>
      </c>
    </row>
    <row r="61" spans="1:20" x14ac:dyDescent="0.35">
      <c r="B61" t="s">
        <v>3</v>
      </c>
      <c r="C61" s="10">
        <f>SUMPRODUCT((Data!$C$2:$C$51=$F61)*(Data!$H$2:$H$51))</f>
        <v>1265.9459999999999</v>
      </c>
      <c r="D61" s="10">
        <f>SUMPRODUCT((Data!$C$2:$C$51=$F61)*(Data!$D$2:$D$51))</f>
        <v>67316297</v>
      </c>
      <c r="F61" t="s">
        <v>3</v>
      </c>
      <c r="G61" s="10">
        <f>SUMPRODUCT((Data!$C$2:$C$51=$F61)*(Data!$D$2:$D$51))</f>
        <v>67316297</v>
      </c>
      <c r="H61" s="10">
        <f>SUMPRODUCT((Data!$C$2:$C$51=$F61)*(Data!$D$2:$D$51))</f>
        <v>67316297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50</vt:i4>
      </vt:variant>
    </vt:vector>
  </HeadingPairs>
  <TitlesOfParts>
    <vt:vector size="54" baseType="lpstr">
      <vt:lpstr>Model</vt:lpstr>
      <vt:lpstr>States</vt:lpstr>
      <vt:lpstr>Data</vt:lpstr>
      <vt:lpstr>Calcs</vt:lpstr>
      <vt:lpstr>Alabama</vt:lpstr>
      <vt:lpstr>Alaska</vt:lpstr>
      <vt:lpstr>Arizona</vt:lpstr>
      <vt:lpstr>Arkansas</vt:lpstr>
      <vt:lpstr>California</vt:lpstr>
      <vt:lpstr>Colorado</vt:lpstr>
      <vt:lpstr>Connecticut</vt:lpstr>
      <vt:lpstr>Delaware</vt:lpstr>
      <vt:lpstr>Florida</vt:lpstr>
      <vt:lpstr>Georgia</vt:lpstr>
      <vt:lpstr>Hawaii</vt:lpstr>
      <vt:lpstr>Idaho</vt:lpstr>
      <vt:lpstr>Illinois</vt:lpstr>
      <vt:lpstr>Indiana</vt:lpstr>
      <vt:lpstr>Iowa</vt:lpstr>
      <vt:lpstr>Kansas</vt:lpstr>
      <vt:lpstr>Kentucky</vt:lpstr>
      <vt:lpstr>Louisiana</vt:lpstr>
      <vt:lpstr>Maine</vt:lpstr>
      <vt:lpstr>Maryland</vt:lpstr>
      <vt:lpstr>Massachusetts</vt:lpstr>
      <vt:lpstr>Michigan</vt:lpstr>
      <vt:lpstr>Minnesota</vt:lpstr>
      <vt:lpstr>Mississippi</vt:lpstr>
      <vt:lpstr>Missouri</vt:lpstr>
      <vt:lpstr>Montana</vt:lpstr>
      <vt:lpstr>Nebraska</vt:lpstr>
      <vt:lpstr>Nevada</vt:lpstr>
      <vt:lpstr>NewHampshire</vt:lpstr>
      <vt:lpstr>NewJersey</vt:lpstr>
      <vt:lpstr>NewMexico</vt:lpstr>
      <vt:lpstr>NewYork</vt:lpstr>
      <vt:lpstr>NorthCarolina</vt:lpstr>
      <vt:lpstr>NorthDakota</vt:lpstr>
      <vt:lpstr>Ohio</vt:lpstr>
      <vt:lpstr>Oklahoma</vt:lpstr>
      <vt:lpstr>Oregon</vt:lpstr>
      <vt:lpstr>Pennsylvania</vt:lpstr>
      <vt:lpstr>RhodeIsland</vt:lpstr>
      <vt:lpstr>SouthCarolina</vt:lpstr>
      <vt:lpstr>SouthDakota</vt:lpstr>
      <vt:lpstr>Tennessee</vt:lpstr>
      <vt:lpstr>Texas</vt:lpstr>
      <vt:lpstr>Utah</vt:lpstr>
      <vt:lpstr>Vermont</vt:lpstr>
      <vt:lpstr>Virginia</vt:lpstr>
      <vt:lpstr>Washington</vt:lpstr>
      <vt:lpstr>WestVirginia</vt:lpstr>
      <vt:lpstr>Wisconsin</vt:lpstr>
      <vt:lpstr>Wyoming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Smallman</dc:creator>
  <cp:lastModifiedBy>USER</cp:lastModifiedBy>
  <dcterms:created xsi:type="dcterms:W3CDTF">2013-12-16T00:57:18Z</dcterms:created>
  <dcterms:modified xsi:type="dcterms:W3CDTF">2022-03-07T21:03:41Z</dcterms:modified>
</cp:coreProperties>
</file>